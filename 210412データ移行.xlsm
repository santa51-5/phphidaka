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4D1C537B-E38A-612A-F078-A93A15B4B7F4}"/>
  <workbookPr codeName="ThisWorkbook"/>
  <bookViews>
    <workbookView xWindow="-12" yWindow="-12" windowWidth="12828" windowHeight="8928" firstSheet="10" activeTab="14"/>
  </bookViews>
  <sheets>
    <sheet name="データベース作成_inasei" sheetId="2" r:id="rId1"/>
    <sheet name="テーブル作成tb_imaster" sheetId="23" r:id="rId2"/>
    <sheet name="データベース作成_db_hmaster" sheetId="20" r:id="rId3"/>
    <sheet name="テーブル作成_tb_hmaster" sheetId="21" r:id="rId4"/>
    <sheet name="テーブル作成_tb_DOC_Master" sheetId="13" r:id="rId5"/>
    <sheet name="テーブル作成_login_log" sheetId="22" r:id="rId6"/>
    <sheet name="テーブル作成_tb_info" sheetId="14" r:id="rId7"/>
    <sheet name="テーブル作成_tb_master" sheetId="15" r:id="rId8"/>
    <sheet name="テーブル作成_tb_C_kibutsu_old" sheetId="16" r:id="rId9"/>
    <sheet name="テーブル作成_tb_C_kibutsu" sheetId="24" r:id="rId10"/>
    <sheet name="テーブル作成_tb_C_SEC1" sheetId="25" r:id="rId11"/>
    <sheet name="テーブル作成_tb_C_SEC2" sheetId="26" r:id="rId12"/>
    <sheet name="テーブル作成_tb_C_SEC3" sheetId="27" r:id="rId13"/>
    <sheet name="テーブル作成_tb_C_SEC4" sheetId="28" r:id="rId14"/>
    <sheet name="テーブル作成_tb_C_SEC5" sheetId="29" r:id="rId15"/>
    <sheet name="テーブル作成_tb_C_katashiki" sheetId="17" r:id="rId16"/>
    <sheet name="テーブル作成_tb_C_use" sheetId="18" r:id="rId17"/>
    <sheet name="テーブル作成_tb_C_kibutsu0" sheetId="19" r:id="rId18"/>
  </sheets>
  <definedNames>
    <definedName name="_xlnm._FilterDatabase" localSheetId="5" hidden="1">テーブル作成_login_log!$A$10:$H$80</definedName>
    <definedName name="_xlnm._FilterDatabase" localSheetId="15" hidden="1">テーブル作成_tb_C_katashiki!$A$10:$H$85</definedName>
    <definedName name="_xlnm._FilterDatabase" localSheetId="9" hidden="1">テーブル作成_tb_C_kibutsu!$A$10:$H$85</definedName>
    <definedName name="_xlnm._FilterDatabase" localSheetId="8" hidden="1">テーブル作成_tb_C_kibutsu_old!$A$10:$H$85</definedName>
    <definedName name="_xlnm._FilterDatabase" localSheetId="17" hidden="1">テーブル作成_tb_C_kibutsu0!$A$10:$H$44</definedName>
    <definedName name="_xlnm._FilterDatabase" localSheetId="10" hidden="1">テーブル作成_tb_C_SEC1!$A$10:$H$85</definedName>
    <definedName name="_xlnm._FilterDatabase" localSheetId="11" hidden="1">テーブル作成_tb_C_SEC2!$A$10:$H$85</definedName>
    <definedName name="_xlnm._FilterDatabase" localSheetId="12" hidden="1">テーブル作成_tb_C_SEC3!$A$10:$H$85</definedName>
    <definedName name="_xlnm._FilterDatabase" localSheetId="13" hidden="1">テーブル作成_tb_C_SEC4!$A$10:$H$85</definedName>
    <definedName name="_xlnm._FilterDatabase" localSheetId="14" hidden="1">テーブル作成_tb_C_SEC5!$A$10:$H$85</definedName>
    <definedName name="_xlnm._FilterDatabase" localSheetId="16" hidden="1">テーブル作成_tb_C_use!$A$10:$H$44</definedName>
    <definedName name="_xlnm._FilterDatabase" localSheetId="4" hidden="1">テーブル作成_tb_DOC_Master!$A$10:$H$80</definedName>
    <definedName name="_xlnm._FilterDatabase" localSheetId="3" hidden="1">テーブル作成_tb_hmaster!$A$10:$H$76</definedName>
    <definedName name="_xlnm._FilterDatabase" localSheetId="6" hidden="1">テーブル作成_tb_info!$A$10:$H$80</definedName>
    <definedName name="_xlnm._FilterDatabase" localSheetId="7" hidden="1">テーブル作成_tb_master!$A$10:$H$80</definedName>
    <definedName name="_xlnm._FilterDatabase" localSheetId="1" hidden="1">テーブル作成tb_imaster!$A$10:$H$85</definedName>
    <definedName name="bminsert2" localSheetId="5">テーブル作成_login_log!$B$10</definedName>
    <definedName name="bminsert2" localSheetId="4">テーブル作成_tb_DOC_Master!$B$10</definedName>
    <definedName name="bminsert2" localSheetId="3">テーブル作成_tb_hmaster!$B$10</definedName>
    <definedName name="bminsert2" localSheetId="6">テーブル作成_tb_info!$B$10</definedName>
  </definedNames>
  <calcPr calcId="114210"/>
</workbook>
</file>

<file path=xl/calcChain.xml><?xml version="1.0" encoding="utf-8"?>
<calcChain xmlns="http://schemas.openxmlformats.org/spreadsheetml/2006/main">
  <c r="H11" i="19"/>
  <c r="H12"/>
  <c r="H11" i="18"/>
  <c r="H12"/>
  <c r="H11" i="17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B7" i="29"/>
  <c r="H11"/>
  <c r="H12"/>
  <c r="H13"/>
  <c r="H14"/>
  <c r="H15"/>
  <c r="H16"/>
  <c r="B7" i="28"/>
  <c r="H11"/>
  <c r="H12"/>
  <c r="H13"/>
  <c r="H14"/>
  <c r="H15"/>
  <c r="H16"/>
  <c r="B7" i="27"/>
  <c r="H11"/>
  <c r="H12"/>
  <c r="H13"/>
  <c r="H14"/>
  <c r="H15"/>
  <c r="H16"/>
  <c r="B7" i="26"/>
  <c r="H11"/>
  <c r="H12"/>
  <c r="H13"/>
  <c r="H14"/>
  <c r="H15"/>
  <c r="H16"/>
  <c r="B7" i="25"/>
  <c r="H11"/>
  <c r="H12"/>
  <c r="H13"/>
  <c r="H14"/>
  <c r="H15"/>
  <c r="B7" i="24"/>
  <c r="H11"/>
  <c r="H12"/>
  <c r="H13"/>
  <c r="H14"/>
  <c r="H15"/>
  <c r="H16"/>
  <c r="H17"/>
  <c r="B7" i="16"/>
  <c r="H11"/>
  <c r="H12"/>
  <c r="H13"/>
  <c r="H14"/>
  <c r="H15"/>
  <c r="B7" i="15"/>
  <c r="H11"/>
  <c r="H12"/>
  <c r="H13"/>
  <c r="H14"/>
  <c r="H15"/>
  <c r="H16"/>
  <c r="H17"/>
  <c r="H18"/>
  <c r="H19"/>
  <c r="H20"/>
  <c r="H21"/>
  <c r="H22"/>
  <c r="H23"/>
  <c r="H24"/>
  <c r="H25"/>
  <c r="B7" i="14"/>
  <c r="B8"/>
  <c r="H11"/>
  <c r="H12"/>
  <c r="H13"/>
  <c r="H14"/>
  <c r="H15"/>
  <c r="H16"/>
  <c r="H17"/>
  <c r="B7" i="22"/>
  <c r="B8"/>
  <c r="H11"/>
  <c r="H12"/>
  <c r="H13"/>
  <c r="H14"/>
  <c r="H15"/>
  <c r="B7" i="13"/>
  <c r="B8"/>
  <c r="H11"/>
  <c r="H12"/>
  <c r="H13"/>
  <c r="H14"/>
  <c r="H15"/>
  <c r="B7" i="21"/>
  <c r="B8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B7" i="23"/>
  <c r="B8"/>
  <c r="H11"/>
  <c r="H12"/>
  <c r="H13"/>
  <c r="H14"/>
  <c r="H15"/>
  <c r="H16"/>
  <c r="H17"/>
  <c r="H18"/>
  <c r="H19"/>
  <c r="H20"/>
  <c r="H21"/>
  <c r="H23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</calcChain>
</file>

<file path=xl/sharedStrings.xml><?xml version="1.0" encoding="utf-8"?>
<sst xmlns="http://schemas.openxmlformats.org/spreadsheetml/2006/main" count="1155" uniqueCount="608">
  <si>
    <t>テーブル名称（日本語）</t>
    <rPh sb="4" eb="6">
      <t>メイショウ</t>
    </rPh>
    <rPh sb="7" eb="10">
      <t>ニホンゴ</t>
    </rPh>
    <phoneticPr fontId="1"/>
  </si>
  <si>
    <t>テーブル名称（英語）</t>
    <rPh sb="4" eb="6">
      <t>メイショウ</t>
    </rPh>
    <rPh sb="7" eb="9">
      <t>エイゴ</t>
    </rPh>
    <phoneticPr fontId="1"/>
  </si>
  <si>
    <t>項目名称（日本語）</t>
    <rPh sb="0" eb="2">
      <t>コウモク</t>
    </rPh>
    <rPh sb="2" eb="4">
      <t>メイショウ</t>
    </rPh>
    <rPh sb="5" eb="8">
      <t>ニホンゴ</t>
    </rPh>
    <phoneticPr fontId="1"/>
  </si>
  <si>
    <t>項目名称（英語）</t>
    <rPh sb="0" eb="2">
      <t>コウモク</t>
    </rPh>
    <rPh sb="2" eb="4">
      <t>メイショウ</t>
    </rPh>
    <rPh sb="5" eb="7">
      <t>エイゴ</t>
    </rPh>
    <phoneticPr fontId="1"/>
  </si>
  <si>
    <t>データ型</t>
    <rPh sb="3" eb="4">
      <t>ガタ</t>
    </rPh>
    <phoneticPr fontId="1"/>
  </si>
  <si>
    <t>データベース名称（日本語）</t>
    <rPh sb="6" eb="8">
      <t>メイショウ</t>
    </rPh>
    <rPh sb="9" eb="12">
      <t>ニホンゴ</t>
    </rPh>
    <phoneticPr fontId="1"/>
  </si>
  <si>
    <t>データベース名称（英語）</t>
    <rPh sb="6" eb="8">
      <t>メイショウ</t>
    </rPh>
    <rPh sb="9" eb="11">
      <t>エイゴ</t>
    </rPh>
    <phoneticPr fontId="1"/>
  </si>
  <si>
    <t>キャラクターセット</t>
    <phoneticPr fontId="1"/>
  </si>
  <si>
    <t>utf8</t>
    <phoneticPr fontId="1"/>
  </si>
  <si>
    <t>DB_Path</t>
  </si>
  <si>
    <t>DB_name</t>
  </si>
  <si>
    <t>Table_Name</t>
  </si>
  <si>
    <t>データ型vba</t>
    <rPh sb="3" eb="4">
      <t>ガタ</t>
    </rPh>
    <phoneticPr fontId="1"/>
  </si>
  <si>
    <t>変数</t>
    <rPh sb="0" eb="2">
      <t>ヘンスウ</t>
    </rPh>
    <phoneticPr fontId="1"/>
  </si>
  <si>
    <t>値</t>
    <rPh sb="0" eb="1">
      <t>アタイ</t>
    </rPh>
    <phoneticPr fontId="1"/>
  </si>
  <si>
    <t>←accessのテーブル名</t>
    <rPh sb="12" eb="13">
      <t>メイ</t>
    </rPh>
    <phoneticPr fontId="1"/>
  </si>
  <si>
    <t>←accessのデータベース名</t>
    <rPh sb="14" eb="15">
      <t>メイ</t>
    </rPh>
    <phoneticPr fontId="1"/>
  </si>
  <si>
    <t>←sqlでつける名前</t>
    <rPh sb="8" eb="10">
      <t>ナマエ</t>
    </rPh>
    <phoneticPr fontId="1"/>
  </si>
  <si>
    <t>↓accessのフィールド名</t>
    <rPh sb="13" eb="14">
      <t>メイ</t>
    </rPh>
    <phoneticPr fontId="1"/>
  </si>
  <si>
    <t>↓ＳＱＬのカラム名</t>
    <rPh sb="8" eb="9">
      <t>メイ</t>
    </rPh>
    <phoneticPr fontId="1"/>
  </si>
  <si>
    <t>器物分類コード</t>
    <phoneticPr fontId="1"/>
  </si>
  <si>
    <t>←accessのパス\までつける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</si>
  <si>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</si>
  <si>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</si>
  <si>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</si>
  <si>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</si>
  <si>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</si>
  <si>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ワークシート名</t>
    <rPh sb="6" eb="7">
      <t>メイ</t>
    </rPh>
    <phoneticPr fontId="1"/>
  </si>
  <si>
    <t>←accessのワークシート名</t>
    <rPh sb="14" eb="15">
      <t>メイ</t>
    </rPh>
    <phoneticPr fontId="1"/>
  </si>
  <si>
    <t>info.mdb</t>
    <phoneticPr fontId="1"/>
  </si>
  <si>
    <t>自分自身のパス</t>
    <rPh sb="0" eb="4">
      <t>ジブンジシン</t>
    </rPh>
    <phoneticPr fontId="1"/>
  </si>
  <si>
    <t>H:\phptest\do\Cgi-bin\mydb\koritsu1404\</t>
    <phoneticPr fontId="1"/>
  </si>
  <si>
    <t>iCAL</t>
    <phoneticPr fontId="1"/>
  </si>
  <si>
    <t>tb_DOC_Master</t>
    <phoneticPr fontId="1"/>
  </si>
  <si>
    <t>tb_DOC_Master_ma</t>
    <phoneticPr fontId="1"/>
  </si>
  <si>
    <t>CALID</t>
  </si>
  <si>
    <t>校正証明書名称</t>
  </si>
  <si>
    <t>発行日</t>
  </si>
  <si>
    <t>備考</t>
  </si>
  <si>
    <t>ファイル名</t>
  </si>
  <si>
    <t>varchar</t>
    <phoneticPr fontId="1"/>
  </si>
  <si>
    <t>ID_CAL</t>
    <phoneticPr fontId="1"/>
  </si>
  <si>
    <t>NOTE_DOC</t>
    <phoneticPr fontId="1"/>
  </si>
  <si>
    <t>NN_acceptance_verification_name</t>
    <phoneticPr fontId="1"/>
  </si>
  <si>
    <t>DATE_issuing</t>
    <phoneticPr fontId="1"/>
  </si>
  <si>
    <t>date</t>
    <phoneticPr fontId="1"/>
  </si>
  <si>
    <t>NN_DOC_Name</t>
    <phoneticPr fontId="1"/>
  </si>
  <si>
    <t>db_inasei</t>
    <phoneticPr fontId="1"/>
  </si>
  <si>
    <t>稲垣製作所</t>
    <rPh sb="0" eb="2">
      <t>イナガキ</t>
    </rPh>
    <rPh sb="2" eb="5">
      <t>セイサクショ</t>
    </rPh>
    <phoneticPr fontId="1"/>
  </si>
  <si>
    <t>i情報</t>
  </si>
  <si>
    <t>No</t>
  </si>
  <si>
    <t>内容分類</t>
  </si>
  <si>
    <t>content_classification</t>
  </si>
  <si>
    <t>日付</t>
  </si>
  <si>
    <t>内容</t>
  </si>
  <si>
    <t>掲示の有無</t>
  </si>
  <si>
    <t>マークの有無</t>
  </si>
  <si>
    <t>admin</t>
  </si>
  <si>
    <t>器物分類コード</t>
    <phoneticPr fontId="1"/>
  </si>
  <si>
    <t>tb_info</t>
    <phoneticPr fontId="1"/>
  </si>
  <si>
    <t>tb_info_ma</t>
    <phoneticPr fontId="1"/>
  </si>
  <si>
    <t>H:\old_asphidaka\do\Cgi-bin\mydb\koritsu1404\</t>
    <phoneticPr fontId="1"/>
  </si>
  <si>
    <t>←accessのパス\までつける</t>
    <phoneticPr fontId="1"/>
  </si>
  <si>
    <t>info.mdb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</si>
  <si>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</si>
  <si>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</si>
  <si>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</si>
  <si>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</si>
  <si>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</si>
  <si>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NO_info</t>
    <phoneticPr fontId="1"/>
  </si>
  <si>
    <t>tinyint</t>
    <phoneticPr fontId="1"/>
  </si>
  <si>
    <t>varchar</t>
    <phoneticPr fontId="1"/>
  </si>
  <si>
    <t>INFO_date</t>
    <phoneticPr fontId="1"/>
  </si>
  <si>
    <t>datetime</t>
    <phoneticPr fontId="1"/>
  </si>
  <si>
    <t>INFO_content</t>
    <phoneticPr fontId="1"/>
  </si>
  <si>
    <t>INFO_notice_presence</t>
    <phoneticPr fontId="1"/>
  </si>
  <si>
    <t>bit</t>
    <phoneticPr fontId="1"/>
  </si>
  <si>
    <t>INFO_mark_presence</t>
    <phoneticPr fontId="1"/>
  </si>
  <si>
    <t>INFO_admin</t>
    <phoneticPr fontId="1"/>
  </si>
  <si>
    <t>mngUsr</t>
  </si>
  <si>
    <t>uid</t>
  </si>
  <si>
    <t>passwd</t>
  </si>
  <si>
    <t>unam</t>
  </si>
  <si>
    <t>bmn</t>
  </si>
  <si>
    <t>menu1</t>
  </si>
  <si>
    <t>menu2</t>
  </si>
  <si>
    <t>menu8</t>
  </si>
  <si>
    <t>menu3</t>
  </si>
  <si>
    <t>menu4</t>
  </si>
  <si>
    <t>menu5</t>
  </si>
  <si>
    <t>menu6</t>
  </si>
  <si>
    <t>menu7</t>
  </si>
  <si>
    <t>変更</t>
  </si>
  <si>
    <t>menu9</t>
  </si>
  <si>
    <t>master.mdb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</si>
  <si>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</si>
  <si>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</si>
  <si>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</si>
  <si>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</si>
  <si>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</si>
  <si>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ID_Customer</t>
    <phoneticPr fontId="1"/>
  </si>
  <si>
    <t>varchar</t>
    <phoneticPr fontId="1"/>
  </si>
  <si>
    <t>Campany_Name</t>
    <phoneticPr fontId="1"/>
  </si>
  <si>
    <t>Name_Customer</t>
    <phoneticPr fontId="1"/>
  </si>
  <si>
    <t>NN_ManageSection</t>
    <phoneticPr fontId="1"/>
  </si>
  <si>
    <t>f_DISP_Menu1</t>
    <phoneticPr fontId="1"/>
  </si>
  <si>
    <t>bit</t>
    <phoneticPr fontId="1"/>
  </si>
  <si>
    <t>f_DISP_Menu2</t>
    <phoneticPr fontId="1"/>
  </si>
  <si>
    <t>f_DISP_Menu8</t>
    <phoneticPr fontId="1"/>
  </si>
  <si>
    <t>f_DISP_Menu3</t>
    <phoneticPr fontId="1"/>
  </si>
  <si>
    <t>f_DISP_Menu4</t>
    <phoneticPr fontId="1"/>
  </si>
  <si>
    <t>f_DISP_Menu5</t>
    <phoneticPr fontId="1"/>
  </si>
  <si>
    <t>f_DISP_Menu6</t>
    <phoneticPr fontId="1"/>
  </si>
  <si>
    <t>f_DISP_Menu7</t>
    <phoneticPr fontId="1"/>
  </si>
  <si>
    <t>f_DISP_Menu_ADMIN</t>
    <phoneticPr fontId="1"/>
  </si>
  <si>
    <t>f_DISP_Menu_Change</t>
    <phoneticPr fontId="1"/>
  </si>
  <si>
    <t>f_DISP_Menu9</t>
    <phoneticPr fontId="1"/>
  </si>
  <si>
    <t>器物分類コード</t>
  </si>
  <si>
    <t>C_kibutsu</t>
  </si>
  <si>
    <t>器物分類名</t>
  </si>
  <si>
    <t>tb_C_kibutsu</t>
    <phoneticPr fontId="1"/>
  </si>
  <si>
    <t>G:\0101\</t>
    <phoneticPr fontId="1"/>
  </si>
  <si>
    <t>管理台帳マスタ2003.MDB</t>
    <phoneticPr fontId="1"/>
  </si>
  <si>
    <t>器物分類コード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</si>
  <si>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</si>
  <si>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</si>
  <si>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</si>
  <si>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</si>
  <si>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</si>
  <si>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tinyint</t>
    <phoneticPr fontId="1"/>
  </si>
  <si>
    <t>NN_kibutsu</t>
    <phoneticPr fontId="1"/>
  </si>
  <si>
    <t>varchar</t>
    <phoneticPr fontId="1"/>
  </si>
  <si>
    <t>C_kibutsu0</t>
    <phoneticPr fontId="1"/>
  </si>
  <si>
    <t>型式コード</t>
  </si>
  <si>
    <t>型式</t>
  </si>
  <si>
    <t>全名称</t>
  </si>
  <si>
    <t>校正器番号</t>
  </si>
  <si>
    <t>検査項目1</t>
  </si>
  <si>
    <t>testing_item_1</t>
  </si>
  <si>
    <t>検査項目2</t>
  </si>
  <si>
    <t>testing_item_2</t>
  </si>
  <si>
    <t>検査項目3</t>
  </si>
  <si>
    <t>testing_item_3</t>
  </si>
  <si>
    <t>器差１上限</t>
  </si>
  <si>
    <t xml:space="preserve">FLOAT </t>
  </si>
  <si>
    <t>器差１下限</t>
  </si>
  <si>
    <t>器差２上限</t>
  </si>
  <si>
    <t>器差２下限</t>
  </si>
  <si>
    <t>器差３上限</t>
  </si>
  <si>
    <t>器差３下限</t>
  </si>
  <si>
    <t>検査項目内容1</t>
  </si>
  <si>
    <t>検査項目内容2</t>
  </si>
  <si>
    <t>検査項目内容3</t>
  </si>
  <si>
    <t>器差１記号</t>
  </si>
  <si>
    <t>器差２記号</t>
  </si>
  <si>
    <t>器差３記号</t>
  </si>
  <si>
    <t>器差１記号使用</t>
  </si>
  <si>
    <t>器差２記号使用</t>
  </si>
  <si>
    <t>器差３記号使用</t>
  </si>
  <si>
    <t>規格タイプ</t>
  </si>
  <si>
    <t>regulations_type</t>
  </si>
  <si>
    <t>特性タイプ</t>
  </si>
  <si>
    <t>feature_type</t>
  </si>
  <si>
    <t>tb_C_katashiki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</si>
  <si>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</si>
  <si>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</si>
  <si>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</si>
  <si>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</si>
  <si>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tinyint</t>
    <phoneticPr fontId="1"/>
  </si>
  <si>
    <t>C_katashiki</t>
    <phoneticPr fontId="1"/>
  </si>
  <si>
    <t>VARCHAR</t>
    <phoneticPr fontId="1"/>
  </si>
  <si>
    <t>NN_model</t>
    <phoneticPr fontId="1"/>
  </si>
  <si>
    <t>NN_total</t>
    <phoneticPr fontId="1"/>
  </si>
  <si>
    <t>calibration_vessel_no</t>
    <phoneticPr fontId="1"/>
  </si>
  <si>
    <t>ID_size1_UP</t>
    <phoneticPr fontId="1"/>
  </si>
  <si>
    <t>ID_size1_LOW</t>
    <phoneticPr fontId="1"/>
  </si>
  <si>
    <t>ID_size2_UP</t>
    <phoneticPr fontId="1"/>
  </si>
  <si>
    <t>ID_size2_LOW</t>
    <phoneticPr fontId="1"/>
  </si>
  <si>
    <t>ID_size3_UP</t>
    <phoneticPr fontId="1"/>
  </si>
  <si>
    <t>ID_size3_LOW</t>
    <phoneticPr fontId="1"/>
  </si>
  <si>
    <t>NN_testing_item_content_1</t>
    <phoneticPr fontId="1"/>
  </si>
  <si>
    <t>NN_testing_item_content_2</t>
    <phoneticPr fontId="1"/>
  </si>
  <si>
    <t>NN_testing_item_content_3</t>
    <phoneticPr fontId="1"/>
  </si>
  <si>
    <t>MR_kisa1</t>
    <phoneticPr fontId="1"/>
  </si>
  <si>
    <t>MR_kisa2</t>
    <phoneticPr fontId="1"/>
  </si>
  <si>
    <t>MR_kisa3</t>
    <phoneticPr fontId="1"/>
  </si>
  <si>
    <t>f_MR_kisa1_use</t>
    <phoneticPr fontId="1"/>
  </si>
  <si>
    <t>bit</t>
    <phoneticPr fontId="1"/>
  </si>
  <si>
    <t>f_MR_kisa2_use</t>
    <phoneticPr fontId="1"/>
  </si>
  <si>
    <t>f_MR_kisa3_use</t>
    <phoneticPr fontId="1"/>
  </si>
  <si>
    <t>使用区分コード</t>
  </si>
  <si>
    <t>tb_C_use</t>
    <phoneticPr fontId="1"/>
  </si>
  <si>
    <t>size</t>
    <phoneticPr fontId="1"/>
  </si>
  <si>
    <t>null</t>
    <phoneticPr fontId="1"/>
  </si>
  <si>
    <t>コメント</t>
    <phoneticPr fontId="1"/>
  </si>
  <si>
    <t>使用区分コード</t>
    <phoneticPr fontId="1"/>
  </si>
  <si>
    <t>C_use</t>
    <phoneticPr fontId="1"/>
  </si>
  <si>
    <t>tinyint</t>
    <phoneticPr fontId="1"/>
  </si>
  <si>
    <t>使用区分</t>
    <phoneticPr fontId="1"/>
  </si>
  <si>
    <t>NN_use</t>
    <phoneticPr fontId="1"/>
  </si>
  <si>
    <t>VARCHAR</t>
    <phoneticPr fontId="1"/>
  </si>
  <si>
    <t>tb_C_kibutsu0</t>
    <phoneticPr fontId="1"/>
  </si>
  <si>
    <t>器物大分類コード</t>
    <phoneticPr fontId="1"/>
  </si>
  <si>
    <t>size</t>
    <phoneticPr fontId="1"/>
  </si>
  <si>
    <t>null</t>
    <phoneticPr fontId="1"/>
  </si>
  <si>
    <t>コメント</t>
    <phoneticPr fontId="1"/>
  </si>
  <si>
    <t>器物大分類コード</t>
    <phoneticPr fontId="1"/>
  </si>
  <si>
    <t>C_kibutsu0</t>
    <phoneticPr fontId="1"/>
  </si>
  <si>
    <t>tinyint</t>
    <phoneticPr fontId="1"/>
  </si>
  <si>
    <t>器物大分類名</t>
    <phoneticPr fontId="1"/>
  </si>
  <si>
    <t>NN_kibutsu0</t>
    <phoneticPr fontId="1"/>
  </si>
  <si>
    <t>VARCHAR</t>
    <phoneticPr fontId="1"/>
  </si>
  <si>
    <t>キャラクターセット</t>
    <phoneticPr fontId="1"/>
  </si>
  <si>
    <t>utf8</t>
    <phoneticPr fontId="1"/>
  </si>
  <si>
    <t>db_hmaster</t>
    <phoneticPr fontId="1"/>
  </si>
  <si>
    <t>器物分類コード</t>
    <phoneticPr fontId="1"/>
  </si>
  <si>
    <t>←accessのパス\までつける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</si>
  <si>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</si>
  <si>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</si>
  <si>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</si>
  <si>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</si>
  <si>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</si>
  <si>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H:\phptest\do\Cgi-bin\mydb\</t>
    <phoneticPr fontId="1"/>
  </si>
  <si>
    <t>hmaster.mdb</t>
    <phoneticPr fontId="1"/>
  </si>
  <si>
    <t>顧客テーブル</t>
  </si>
  <si>
    <t>tb_hmaster</t>
    <phoneticPr fontId="1"/>
  </si>
  <si>
    <t>tb_hmaster_ma</t>
    <phoneticPr fontId="1"/>
  </si>
  <si>
    <t>db_path</t>
  </si>
  <si>
    <t>変更管理</t>
  </si>
  <si>
    <t>入荷情報</t>
  </si>
  <si>
    <t>ID_Customer</t>
  </si>
  <si>
    <t>Campany_Name</t>
  </si>
  <si>
    <t>Name_Customer</t>
  </si>
  <si>
    <t>NN_SEC1</t>
  </si>
  <si>
    <t>NN_SEC2</t>
    <phoneticPr fontId="1"/>
  </si>
  <si>
    <t>NN_SEC3</t>
    <phoneticPr fontId="1"/>
  </si>
  <si>
    <t>NN_SEC4</t>
    <phoneticPr fontId="1"/>
  </si>
  <si>
    <t>NN_SEC5</t>
    <phoneticPr fontId="1"/>
  </si>
  <si>
    <t>f_AutoCreateDATA</t>
  </si>
  <si>
    <t>f_DISP_ManageStatus</t>
  </si>
  <si>
    <t>f_DISP_InspectCycle</t>
  </si>
  <si>
    <t>f_DISP_DATAConfirmation</t>
  </si>
  <si>
    <t>f_DISP_CALRisultDetails</t>
  </si>
  <si>
    <t>f_DISP_Expired</t>
  </si>
  <si>
    <t>f_DISP_CALPlans</t>
  </si>
  <si>
    <t>f_DISP_VariousLIST</t>
  </si>
  <si>
    <t>f_NEWCreate</t>
  </si>
  <si>
    <t>f_Changable</t>
  </si>
  <si>
    <t>f_Disposal</t>
  </si>
  <si>
    <t>f_SuportReport</t>
  </si>
  <si>
    <t>f_NGList</t>
    <phoneticPr fontId="1"/>
  </si>
  <si>
    <t>f_CautionList</t>
  </si>
  <si>
    <t>f_ImplementationList</t>
  </si>
  <si>
    <t>f_MasterInfoManage</t>
  </si>
  <si>
    <t>f_UseSEC1</t>
  </si>
  <si>
    <t>f_UseSEC2</t>
    <phoneticPr fontId="1"/>
  </si>
  <si>
    <t>f_UseSEC3</t>
    <phoneticPr fontId="1"/>
  </si>
  <si>
    <t>f_UseSEC4</t>
    <phoneticPr fontId="1"/>
  </si>
  <si>
    <t>f_ChangeManege</t>
  </si>
  <si>
    <t>f_AcceptanceInfo</t>
  </si>
  <si>
    <t>varchar</t>
    <phoneticPr fontId="1"/>
  </si>
  <si>
    <t>bit</t>
    <phoneticPr fontId="1"/>
  </si>
  <si>
    <t>data_path</t>
    <phoneticPr fontId="1"/>
  </si>
  <si>
    <t>f_UseSEC5</t>
    <phoneticPr fontId="1"/>
  </si>
  <si>
    <t>ID</t>
    <phoneticPr fontId="1"/>
  </si>
  <si>
    <t>会社名</t>
    <phoneticPr fontId="1"/>
  </si>
  <si>
    <t>担当員</t>
    <phoneticPr fontId="1"/>
  </si>
  <si>
    <t>所番地分類1</t>
    <phoneticPr fontId="1"/>
  </si>
  <si>
    <t>所番地分類2</t>
    <phoneticPr fontId="1"/>
  </si>
  <si>
    <t>所番地分類3</t>
    <phoneticPr fontId="1"/>
  </si>
  <si>
    <t>所番地分類4</t>
    <phoneticPr fontId="1"/>
  </si>
  <si>
    <t>置き場1</t>
    <phoneticPr fontId="1"/>
  </si>
  <si>
    <t>db_path</t>
    <phoneticPr fontId="1"/>
  </si>
  <si>
    <t>data_path</t>
    <phoneticPr fontId="1"/>
  </si>
  <si>
    <t>備考</t>
    <phoneticPr fontId="1"/>
  </si>
  <si>
    <t>自動作成機能</t>
    <phoneticPr fontId="1"/>
  </si>
  <si>
    <t>管理状態表示</t>
    <phoneticPr fontId="1"/>
  </si>
  <si>
    <t>検査周期表示</t>
    <phoneticPr fontId="1"/>
  </si>
  <si>
    <t>データ確認欄表示</t>
    <phoneticPr fontId="1"/>
  </si>
  <si>
    <t>校正結果詳細表示</t>
    <phoneticPr fontId="1"/>
  </si>
  <si>
    <t>期限切れ表示</t>
    <phoneticPr fontId="1"/>
  </si>
  <si>
    <t>校正予定表示</t>
    <phoneticPr fontId="1"/>
  </si>
  <si>
    <t>各種リスト表示</t>
    <phoneticPr fontId="1"/>
  </si>
  <si>
    <t>新規作成</t>
    <phoneticPr fontId="1"/>
  </si>
  <si>
    <t>変更</t>
    <phoneticPr fontId="1"/>
  </si>
  <si>
    <t>廃棄</t>
    <phoneticPr fontId="1"/>
  </si>
  <si>
    <t>補助資料</t>
    <phoneticPr fontId="1"/>
  </si>
  <si>
    <t>不合格報告書</t>
    <phoneticPr fontId="1"/>
  </si>
  <si>
    <t>要注意報告書</t>
    <phoneticPr fontId="1"/>
  </si>
  <si>
    <t>実施リスト</t>
    <phoneticPr fontId="1"/>
  </si>
  <si>
    <t>マスター情報管理</t>
    <phoneticPr fontId="1"/>
  </si>
  <si>
    <t>所番地1</t>
    <phoneticPr fontId="1"/>
  </si>
  <si>
    <t>所番地2</t>
    <phoneticPr fontId="1"/>
  </si>
  <si>
    <t>所番地3</t>
    <phoneticPr fontId="1"/>
  </si>
  <si>
    <t>所番地4</t>
    <phoneticPr fontId="1"/>
  </si>
  <si>
    <t>置き場1表示</t>
    <phoneticPr fontId="1"/>
  </si>
  <si>
    <t>器物分類コード</t>
    <phoneticPr fontId="1"/>
  </si>
  <si>
    <t>特別機能稲垣鉄工</t>
  </si>
  <si>
    <t>一覧登録リスト</t>
  </si>
  <si>
    <t>note</t>
    <phoneticPr fontId="1"/>
  </si>
  <si>
    <t>bbb_kibu</t>
    <phoneticPr fontId="1"/>
  </si>
  <si>
    <t>bbb_kib2</t>
    <phoneticPr fontId="1"/>
  </si>
  <si>
    <t>f_Listregistor</t>
    <phoneticPr fontId="1"/>
  </si>
  <si>
    <t>tb_customer</t>
    <phoneticPr fontId="1"/>
  </si>
  <si>
    <t>tb_customer_ma</t>
    <phoneticPr fontId="1"/>
  </si>
  <si>
    <t>器物分類コード</t>
    <phoneticPr fontId="1"/>
  </si>
  <si>
    <t>←accessのパス\までつける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</si>
  <si>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</si>
  <si>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</si>
  <si>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</si>
  <si>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</si>
  <si>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</si>
  <si>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varchar</t>
    <phoneticPr fontId="1"/>
  </si>
  <si>
    <t>login_log</t>
  </si>
  <si>
    <t>login_log_ma</t>
    <phoneticPr fontId="1"/>
  </si>
  <si>
    <t>login_log_ID</t>
  </si>
  <si>
    <t>login_log_loginTime</t>
  </si>
  <si>
    <t>login_log_action</t>
  </si>
  <si>
    <t>login_log_name</t>
  </si>
  <si>
    <t>login_log_note</t>
    <phoneticPr fontId="1"/>
  </si>
  <si>
    <t>timestamp</t>
    <phoneticPr fontId="1"/>
  </si>
  <si>
    <t>n</t>
    <phoneticPr fontId="1"/>
  </si>
  <si>
    <t>login_ID</t>
    <phoneticPr fontId="1"/>
  </si>
  <si>
    <t>ログイン時間</t>
    <rPh sb="4" eb="6">
      <t>ジカン</t>
    </rPh>
    <phoneticPr fontId="1"/>
  </si>
  <si>
    <t>ログイン状況</t>
    <rPh sb="4" eb="6">
      <t>ジョウキョウ</t>
    </rPh>
    <phoneticPr fontId="1"/>
  </si>
  <si>
    <t>ログイン名</t>
    <rPh sb="4" eb="5">
      <t>メイ</t>
    </rPh>
    <phoneticPr fontId="1"/>
  </si>
  <si>
    <t>備考</t>
    <rPh sb="0" eb="2">
      <t>ビコウ</t>
    </rPh>
    <phoneticPr fontId="1"/>
  </si>
  <si>
    <t>H:\old_asphidaka\do\Cgi-bin\mydb\inasei20\</t>
    <phoneticPr fontId="1"/>
  </si>
  <si>
    <t>H:\old_asphidaka\do\Cgi-bin\mydb\mannou</t>
  </si>
  <si>
    <t>寸法２</t>
  </si>
  <si>
    <t>測定項目3上限</t>
    <rPh sb="0" eb="4">
      <t>ソクテイコウモク</t>
    </rPh>
    <rPh sb="5" eb="7">
      <t>ジョウゲン</t>
    </rPh>
    <phoneticPr fontId="1"/>
  </si>
  <si>
    <t>測定項目3下限</t>
    <rPh sb="0" eb="4">
      <t>ソクテイコウモク</t>
    </rPh>
    <rPh sb="5" eb="7">
      <t>カゲン</t>
    </rPh>
    <phoneticPr fontId="1"/>
  </si>
  <si>
    <t>置き場1</t>
  </si>
  <si>
    <t>置き場2</t>
  </si>
  <si>
    <t>note2</t>
  </si>
  <si>
    <t>note3</t>
  </si>
  <si>
    <t>note4</t>
  </si>
  <si>
    <t>図面有無</t>
    <rPh sb="2" eb="4">
      <t>ウム</t>
    </rPh>
    <phoneticPr fontId="1"/>
  </si>
  <si>
    <t>製造年月日</t>
  </si>
  <si>
    <t>manufacturing_date</t>
  </si>
  <si>
    <t>品番</t>
  </si>
  <si>
    <t>器物大分類名</t>
  </si>
  <si>
    <t>所番地1</t>
  </si>
  <si>
    <t>所番地2</t>
  </si>
  <si>
    <t>NN_SEC2</t>
  </si>
  <si>
    <t>所番地3</t>
  </si>
  <si>
    <t>NN_SEC3</t>
  </si>
  <si>
    <t>所番地4</t>
  </si>
  <si>
    <t>NN_SEC4</t>
  </si>
  <si>
    <t>型式番号</t>
  </si>
  <si>
    <t>桁</t>
  </si>
  <si>
    <t>digits</t>
  </si>
  <si>
    <t>検査項目名</t>
  </si>
  <si>
    <t>使用区分</t>
  </si>
  <si>
    <t>登録者名</t>
  </si>
  <si>
    <t>検査項目名1</t>
  </si>
  <si>
    <t>検査項目名2</t>
  </si>
  <si>
    <t>検査項目名3</t>
  </si>
  <si>
    <t>製造社コード</t>
  </si>
  <si>
    <t>manufacturing_company_code</t>
  </si>
  <si>
    <t>単価</t>
  </si>
  <si>
    <t>unit_price</t>
  </si>
  <si>
    <t>納入日</t>
  </si>
  <si>
    <t>delivery_date</t>
  </si>
  <si>
    <t>納入者コード</t>
  </si>
  <si>
    <t>delivery_person_code</t>
  </si>
  <si>
    <t>要領書</t>
  </si>
  <si>
    <t>製造社</t>
  </si>
  <si>
    <t>受入証明名称</t>
  </si>
  <si>
    <t>納入社</t>
  </si>
  <si>
    <t>受入証明コード</t>
  </si>
  <si>
    <t>入荷情報備考</t>
  </si>
  <si>
    <t>レベル</t>
  </si>
  <si>
    <t>テストテーブル</t>
    <phoneticPr fontId="1"/>
  </si>
  <si>
    <t>imaster.mdb</t>
    <phoneticPr fontId="1"/>
  </si>
  <si>
    <t>iマスター</t>
    <phoneticPr fontId="1"/>
  </si>
  <si>
    <t>tb_imaster</t>
    <phoneticPr fontId="1"/>
  </si>
  <si>
    <t>tb_imaster_ma</t>
    <phoneticPr fontId="1"/>
  </si>
  <si>
    <t>size</t>
    <phoneticPr fontId="1"/>
  </si>
  <si>
    <t>null</t>
    <phoneticPr fontId="1"/>
  </si>
  <si>
    <t>コメント</t>
    <phoneticPr fontId="1"/>
  </si>
  <si>
    <t>マスタＩＤ</t>
    <phoneticPr fontId="1"/>
  </si>
  <si>
    <t>master_ID</t>
    <phoneticPr fontId="1"/>
  </si>
  <si>
    <t>mediumint</t>
    <phoneticPr fontId="1"/>
  </si>
  <si>
    <t>管理記号</t>
    <phoneticPr fontId="1"/>
  </si>
  <si>
    <t>M_ID1</t>
    <phoneticPr fontId="1"/>
  </si>
  <si>
    <t>VARCHAR</t>
    <phoneticPr fontId="1"/>
  </si>
  <si>
    <t>管理数字</t>
    <phoneticPr fontId="1"/>
  </si>
  <si>
    <t>M_ID2</t>
    <phoneticPr fontId="1"/>
  </si>
  <si>
    <t>int</t>
    <phoneticPr fontId="1"/>
  </si>
  <si>
    <t>管理補助数字</t>
    <phoneticPr fontId="1"/>
  </si>
  <si>
    <t>M_ID3</t>
    <phoneticPr fontId="1"/>
  </si>
  <si>
    <t>管理補助記号</t>
    <phoneticPr fontId="1"/>
  </si>
  <si>
    <t>M_ID4</t>
    <phoneticPr fontId="1"/>
  </si>
  <si>
    <t>器物分類コード</t>
    <phoneticPr fontId="1"/>
  </si>
  <si>
    <t>C_kibutsu</t>
    <phoneticPr fontId="1"/>
  </si>
  <si>
    <t>tinyint</t>
    <phoneticPr fontId="1"/>
  </si>
  <si>
    <t>型式コード</t>
    <phoneticPr fontId="1"/>
  </si>
  <si>
    <t>C_katashiki</t>
    <phoneticPr fontId="1"/>
  </si>
  <si>
    <t>製造番号</t>
    <phoneticPr fontId="1"/>
  </si>
  <si>
    <t>SerialNumber</t>
    <phoneticPr fontId="1"/>
  </si>
  <si>
    <t>サイズ</t>
    <phoneticPr fontId="1"/>
  </si>
  <si>
    <t>ID_size20</t>
    <phoneticPr fontId="1"/>
  </si>
  <si>
    <t>通り側</t>
    <phoneticPr fontId="1"/>
  </si>
  <si>
    <t>ID_size21</t>
    <phoneticPr fontId="1"/>
  </si>
  <si>
    <t>止まり側</t>
    <phoneticPr fontId="1"/>
  </si>
  <si>
    <t>ID_size22</t>
    <phoneticPr fontId="1"/>
  </si>
  <si>
    <t>補正値2</t>
  </si>
  <si>
    <t>ID_size23</t>
  </si>
  <si>
    <t>ID_size24</t>
    <phoneticPr fontId="1"/>
  </si>
  <si>
    <t>最小値</t>
  </si>
  <si>
    <t>ID_size10</t>
    <phoneticPr fontId="1"/>
  </si>
  <si>
    <t>最大値</t>
  </si>
  <si>
    <t>ID_size11</t>
  </si>
  <si>
    <t>目量</t>
  </si>
  <si>
    <t>ID_size12</t>
  </si>
  <si>
    <t>単位</t>
    <rPh sb="0" eb="2">
      <t>タンイ</t>
    </rPh>
    <phoneticPr fontId="1"/>
  </si>
  <si>
    <t>ID_size13</t>
  </si>
  <si>
    <t>通り側上限</t>
    <phoneticPr fontId="1"/>
  </si>
  <si>
    <t>ID_size1_UP</t>
    <phoneticPr fontId="1"/>
  </si>
  <si>
    <t>通り側下限</t>
    <phoneticPr fontId="1"/>
  </si>
  <si>
    <t>ID_size1_LOW</t>
    <phoneticPr fontId="1"/>
  </si>
  <si>
    <t>止まり側上限</t>
    <phoneticPr fontId="1"/>
  </si>
  <si>
    <t>ID_size2_UP</t>
    <phoneticPr fontId="1"/>
  </si>
  <si>
    <t>止まり側下限</t>
    <phoneticPr fontId="1"/>
  </si>
  <si>
    <t>ID_size2_LOW</t>
    <phoneticPr fontId="1"/>
  </si>
  <si>
    <t>ID_size3_UP</t>
    <phoneticPr fontId="1"/>
  </si>
  <si>
    <t>ID_size3_LOW</t>
    <phoneticPr fontId="1"/>
  </si>
  <si>
    <t>所番地分類1</t>
    <phoneticPr fontId="1"/>
  </si>
  <si>
    <t>SEC1</t>
    <phoneticPr fontId="1"/>
  </si>
  <si>
    <t>VARCHAR</t>
    <phoneticPr fontId="1"/>
  </si>
  <si>
    <t>所番地分類2</t>
    <phoneticPr fontId="1"/>
  </si>
  <si>
    <t>SEC2</t>
    <phoneticPr fontId="1"/>
  </si>
  <si>
    <t>所番地分類3</t>
    <phoneticPr fontId="1"/>
  </si>
  <si>
    <t>SEC3</t>
    <phoneticPr fontId="1"/>
  </si>
  <si>
    <t>所番地分類4</t>
    <phoneticPr fontId="1"/>
  </si>
  <si>
    <t>SEC4</t>
    <phoneticPr fontId="1"/>
  </si>
  <si>
    <t>SEC5</t>
    <phoneticPr fontId="1"/>
  </si>
  <si>
    <t>SEC6</t>
    <phoneticPr fontId="1"/>
  </si>
  <si>
    <t>使用区分コード</t>
    <phoneticPr fontId="1"/>
  </si>
  <si>
    <t>C_use</t>
    <phoneticPr fontId="1"/>
  </si>
  <si>
    <t>tinyint</t>
    <phoneticPr fontId="1"/>
  </si>
  <si>
    <t>検査周期</t>
    <phoneticPr fontId="1"/>
  </si>
  <si>
    <t>Inspection_cycle</t>
    <phoneticPr fontId="1"/>
  </si>
  <si>
    <t>備考１</t>
    <phoneticPr fontId="1"/>
  </si>
  <si>
    <t>note1</t>
    <phoneticPr fontId="1"/>
  </si>
  <si>
    <t>備考２</t>
    <phoneticPr fontId="1"/>
  </si>
  <si>
    <t>備考３</t>
    <phoneticPr fontId="1"/>
  </si>
  <si>
    <t>備考４</t>
    <phoneticPr fontId="1"/>
  </si>
  <si>
    <t>器物大分類コード</t>
    <phoneticPr fontId="1"/>
  </si>
  <si>
    <t>C_kibutsu0</t>
    <phoneticPr fontId="1"/>
  </si>
  <si>
    <t>検査項目コード</t>
    <phoneticPr fontId="1"/>
  </si>
  <si>
    <t>C_inspITEM</t>
    <phoneticPr fontId="1"/>
  </si>
  <si>
    <t>登録年月日</t>
    <phoneticPr fontId="1"/>
  </si>
  <si>
    <t>Reg_date</t>
    <phoneticPr fontId="1"/>
  </si>
  <si>
    <t>登録者コード</t>
    <phoneticPr fontId="1"/>
  </si>
  <si>
    <t>REG_man</t>
    <phoneticPr fontId="1"/>
  </si>
  <si>
    <t>最新校正日</t>
    <phoneticPr fontId="1"/>
  </si>
  <si>
    <t>InspDATE_last</t>
    <phoneticPr fontId="1"/>
  </si>
  <si>
    <t>次回校正日</t>
    <phoneticPr fontId="1"/>
  </si>
  <si>
    <t>InspDATE_next</t>
    <phoneticPr fontId="1"/>
  </si>
  <si>
    <t>廃棄FLAG</t>
    <phoneticPr fontId="1"/>
  </si>
  <si>
    <t>f_disposal</t>
    <phoneticPr fontId="1"/>
  </si>
  <si>
    <t>bit</t>
    <phoneticPr fontId="1"/>
  </si>
  <si>
    <t>PA_Drawing</t>
    <phoneticPr fontId="1"/>
  </si>
  <si>
    <t>manufacturing_number</t>
    <phoneticPr fontId="1"/>
  </si>
  <si>
    <t>NN_total</t>
    <phoneticPr fontId="1"/>
  </si>
  <si>
    <t>NN_model</t>
    <phoneticPr fontId="1"/>
  </si>
  <si>
    <t>NN_kibutsu</t>
    <phoneticPr fontId="1"/>
  </si>
  <si>
    <t>NN_kibutsu0</t>
    <phoneticPr fontId="1"/>
  </si>
  <si>
    <t>NN_SEC1</t>
    <phoneticPr fontId="1"/>
  </si>
  <si>
    <t>C_CODEnumber</t>
    <phoneticPr fontId="1"/>
  </si>
  <si>
    <t>calibration_vessel_no</t>
    <phoneticPr fontId="1"/>
  </si>
  <si>
    <t>NN_testing_item_name</t>
    <phoneticPr fontId="1"/>
  </si>
  <si>
    <t>NN_use_kubun</t>
    <phoneticPr fontId="1"/>
  </si>
  <si>
    <t>NN_registrant_name</t>
    <phoneticPr fontId="1"/>
  </si>
  <si>
    <t>NN_testing_item_name_1</t>
    <phoneticPr fontId="1"/>
  </si>
  <si>
    <t>NN_testing_item_name_2</t>
    <phoneticPr fontId="1"/>
  </si>
  <si>
    <t>NN_testing_item_name_3</t>
    <phoneticPr fontId="1"/>
  </si>
  <si>
    <t>NN_testing_item_content_1</t>
    <phoneticPr fontId="1"/>
  </si>
  <si>
    <t>NN_testing_item_content_2</t>
    <phoneticPr fontId="1"/>
  </si>
  <si>
    <t>NN_testing_item_content_3</t>
    <phoneticPr fontId="1"/>
  </si>
  <si>
    <t>NO_summary_form</t>
    <phoneticPr fontId="1"/>
  </si>
  <si>
    <t>NN_manufacturing_company</t>
    <phoneticPr fontId="1"/>
  </si>
  <si>
    <t>NO_acceptance_verification_name</t>
    <phoneticPr fontId="1"/>
  </si>
  <si>
    <t>NN_delivery_company</t>
    <phoneticPr fontId="1"/>
  </si>
  <si>
    <t>NO_acceptance_verification_code</t>
    <phoneticPr fontId="1"/>
  </si>
  <si>
    <t>NOTE_arrival_information_recital</t>
    <phoneticPr fontId="1"/>
  </si>
  <si>
    <t>DISP_LEVEL</t>
    <phoneticPr fontId="1"/>
  </si>
  <si>
    <t>date</t>
    <phoneticPr fontId="1"/>
  </si>
  <si>
    <t>tb_C_kibutsu_ma</t>
    <phoneticPr fontId="1"/>
  </si>
  <si>
    <t>器物分類コード</t>
    <phoneticPr fontId="1"/>
  </si>
  <si>
    <t>器物分類名</t>
    <phoneticPr fontId="1"/>
  </si>
  <si>
    <t>器物大分類コード</t>
    <phoneticPr fontId="1"/>
  </si>
  <si>
    <t>old</t>
  </si>
  <si>
    <t>hid</t>
  </si>
  <si>
    <t>器物分類コード</t>
    <phoneticPr fontId="1"/>
  </si>
  <si>
    <t>tb_C_kibutsu</t>
    <phoneticPr fontId="1"/>
  </si>
  <si>
    <t>tb_C_kibutsu_ma</t>
    <phoneticPr fontId="1"/>
  </si>
  <si>
    <t>←accessのパス\までつける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</si>
  <si>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</si>
  <si>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</si>
  <si>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</si>
  <si>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</si>
  <si>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</si>
  <si>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tinyint</t>
    <phoneticPr fontId="1"/>
  </si>
  <si>
    <t>NN_kibutsu</t>
    <phoneticPr fontId="1"/>
  </si>
  <si>
    <t>varchar</t>
    <phoneticPr fontId="1"/>
  </si>
  <si>
    <t>C_kibutsu0</t>
    <phoneticPr fontId="1"/>
  </si>
  <si>
    <t>H:\old_asphidaka\do\Cgi-bin\mydb\chu20\</t>
    <phoneticPr fontId="1"/>
  </si>
  <si>
    <t>imaster.mdb</t>
    <phoneticPr fontId="1"/>
  </si>
  <si>
    <t>i器物分類コード</t>
  </si>
  <si>
    <t>記号</t>
    <phoneticPr fontId="1"/>
  </si>
  <si>
    <t>hid</t>
    <phoneticPr fontId="1"/>
  </si>
  <si>
    <t>使用状態</t>
  </si>
  <si>
    <t>Mark_Kibutsu</t>
    <phoneticPr fontId="1"/>
  </si>
  <si>
    <t>C_UseState</t>
    <phoneticPr fontId="1"/>
  </si>
  <si>
    <t>hid_Kibustu</t>
    <phoneticPr fontId="1"/>
  </si>
  <si>
    <t>Note_Kibutsu</t>
    <phoneticPr fontId="1"/>
  </si>
  <si>
    <t>器物分類コード</t>
    <phoneticPr fontId="1"/>
  </si>
  <si>
    <t>H:\old_asphidaka\do\Cgi-bin\mydb\chu20\</t>
    <phoneticPr fontId="1"/>
  </si>
  <si>
    <t>←accessのパス\までつける</t>
    <phoneticPr fontId="1"/>
  </si>
  <si>
    <t>imaster.mdb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</si>
  <si>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</si>
  <si>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</si>
  <si>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</si>
  <si>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</si>
  <si>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</si>
  <si>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tinyint</t>
    <phoneticPr fontId="1"/>
  </si>
  <si>
    <t>varchar</t>
    <phoneticPr fontId="1"/>
  </si>
  <si>
    <t>i所番地分類1</t>
  </si>
  <si>
    <t>tb_C_SEC1</t>
    <phoneticPr fontId="1"/>
  </si>
  <si>
    <t>tb_C_SEC1_ma</t>
    <phoneticPr fontId="1"/>
  </si>
  <si>
    <t>所番地分類1</t>
    <phoneticPr fontId="1"/>
  </si>
  <si>
    <t>所番地1</t>
    <phoneticPr fontId="1"/>
  </si>
  <si>
    <t>Note_SEC1</t>
    <phoneticPr fontId="1"/>
  </si>
  <si>
    <t>C_SEC1</t>
    <phoneticPr fontId="1"/>
  </si>
  <si>
    <t>NN_SEC1</t>
    <phoneticPr fontId="1"/>
  </si>
  <si>
    <t>hid_SEC1</t>
    <phoneticPr fontId="1"/>
  </si>
  <si>
    <t>C_UseState_SEC1</t>
    <phoneticPr fontId="1"/>
  </si>
  <si>
    <t>器物分類コード</t>
    <phoneticPr fontId="1"/>
  </si>
  <si>
    <t>←accessのパス\までつける</t>
    <phoneticPr fontId="1"/>
  </si>
  <si>
    <t>imaster.mdb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</si>
  <si>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</si>
  <si>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</si>
  <si>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</si>
  <si>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</si>
  <si>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</si>
  <si>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tinyint</t>
    <phoneticPr fontId="1"/>
  </si>
  <si>
    <t>varchar</t>
    <phoneticPr fontId="1"/>
  </si>
  <si>
    <t>tb_C_SEC2</t>
    <phoneticPr fontId="1"/>
  </si>
  <si>
    <t>tb_C_SEC2_ma</t>
    <phoneticPr fontId="1"/>
  </si>
  <si>
    <t>H:\old_asphidaka\do\Cgi-bin\mydb\mannou\</t>
    <phoneticPr fontId="1"/>
  </si>
  <si>
    <t>i所番地分類2</t>
    <phoneticPr fontId="1"/>
  </si>
  <si>
    <t>所番地分類2</t>
  </si>
  <si>
    <t>所番地分類1</t>
  </si>
  <si>
    <t>Note_SEC2</t>
  </si>
  <si>
    <t>C_UseState_SEC2</t>
    <phoneticPr fontId="1"/>
  </si>
  <si>
    <t>hid_SEC2</t>
    <phoneticPr fontId="1"/>
  </si>
  <si>
    <t>C_SEC2</t>
    <phoneticPr fontId="1"/>
  </si>
  <si>
    <t>C_SEC1</t>
    <phoneticPr fontId="1"/>
  </si>
  <si>
    <t>H:\old_asphidaka\do\Cgi-bin\mydb\mannou\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</si>
  <si>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</si>
  <si>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</si>
  <si>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</si>
  <si>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</si>
  <si>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</si>
  <si>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varchar</t>
    <phoneticPr fontId="1"/>
  </si>
  <si>
    <t>tinyint</t>
    <phoneticPr fontId="1"/>
  </si>
  <si>
    <t>i所番地分類3</t>
    <phoneticPr fontId="1"/>
  </si>
  <si>
    <t>tb_C_SEC3_ma</t>
    <phoneticPr fontId="1"/>
  </si>
  <si>
    <t>所番地分類3</t>
  </si>
  <si>
    <t>C_SEC3</t>
    <phoneticPr fontId="1"/>
  </si>
  <si>
    <t>C_SEC2</t>
    <phoneticPr fontId="1"/>
  </si>
  <si>
    <t>hid_SEC3</t>
    <phoneticPr fontId="1"/>
  </si>
  <si>
    <t>C_UseState_SEC3</t>
    <phoneticPr fontId="1"/>
  </si>
  <si>
    <t>Note_SEC3</t>
    <phoneticPr fontId="1"/>
  </si>
  <si>
    <t>tb_C_SEC3</t>
    <phoneticPr fontId="1"/>
  </si>
  <si>
    <t>器物分類コード</t>
    <phoneticPr fontId="1"/>
  </si>
  <si>
    <t>H:\old_asphidaka\do\Cgi-bin\mydb\mannou\</t>
    <phoneticPr fontId="1"/>
  </si>
  <si>
    <t>←accessのパス\までつける</t>
    <phoneticPr fontId="1"/>
  </si>
  <si>
    <t>imaster.mdb</t>
    <phoneticPr fontId="1"/>
  </si>
  <si>
    <t>↓</t>
    <phoneticPr fontId="1"/>
  </si>
  <si>
    <t>no</t>
    <phoneticPr fontId="1"/>
  </si>
  <si>
    <t>size</t>
    <phoneticPr fontId="1"/>
  </si>
  <si>
    <t>null</t>
    <phoneticPr fontId="1"/>
  </si>
  <si>
    <t>コメント</t>
    <phoneticPr fontId="1"/>
  </si>
  <si>
    <t>C_SEC3</t>
    <phoneticPr fontId="1"/>
  </si>
  <si>
    <t>varchar</t>
    <phoneticPr fontId="1"/>
  </si>
  <si>
    <t>NN_SEC3</t>
    <phoneticPr fontId="1"/>
  </si>
  <si>
    <t>C_SEC2</t>
    <phoneticPr fontId="1"/>
  </si>
  <si>
    <t>hid_SEC3</t>
    <phoneticPr fontId="1"/>
  </si>
  <si>
    <t>C_UseState_SEC3</t>
    <phoneticPr fontId="1"/>
  </si>
  <si>
    <t>tinyint</t>
    <phoneticPr fontId="1"/>
  </si>
  <si>
    <t>Note_SEC3</t>
    <phoneticPr fontId="1"/>
  </si>
  <si>
    <t>tb_C_SEC4</t>
    <phoneticPr fontId="1"/>
  </si>
  <si>
    <t>tb_C_SEC4_ma</t>
    <phoneticPr fontId="1"/>
  </si>
  <si>
    <t>i所番地分類4</t>
    <phoneticPr fontId="1"/>
  </si>
  <si>
    <t>所番地分類4</t>
  </si>
  <si>
    <t>品名</t>
  </si>
  <si>
    <t>C_SEC4</t>
    <phoneticPr fontId="1"/>
  </si>
  <si>
    <t>NN_SEC4</t>
    <phoneticPr fontId="1"/>
  </si>
  <si>
    <t>hid_SEC4</t>
    <phoneticPr fontId="1"/>
  </si>
  <si>
    <t>C_UseState_SEC4</t>
    <phoneticPr fontId="1"/>
  </si>
  <si>
    <t>Note_SEC4</t>
    <phoneticPr fontId="1"/>
  </si>
  <si>
    <t>tb_C_SEC5</t>
    <phoneticPr fontId="1"/>
  </si>
  <si>
    <t>tb_C_SEC5_ma</t>
    <phoneticPr fontId="1"/>
  </si>
  <si>
    <t>i所番地分類5</t>
    <phoneticPr fontId="1"/>
  </si>
</sst>
</file>

<file path=xl/styles.xml><?xml version="1.0" encoding="utf-8"?>
<styleSheet xmlns="http://schemas.openxmlformats.org/spreadsheetml/2006/main">
  <fonts count="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62"/>
      <name val="TBUDゴシック R"/>
      <family val="3"/>
      <charset val="128"/>
    </font>
    <font>
      <sz val="11"/>
      <color indexed="29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2"/>
  <sheetViews>
    <sheetView workbookViewId="0"/>
  </sheetViews>
  <sheetFormatPr defaultRowHeight="13.2"/>
  <sheetData>
    <row r="1" spans="1:4">
      <c r="A1" t="s">
        <v>5</v>
      </c>
      <c r="C1" t="s">
        <v>6</v>
      </c>
      <c r="D1" t="s">
        <v>7</v>
      </c>
    </row>
    <row r="2" spans="1:4">
      <c r="A2" t="s">
        <v>48</v>
      </c>
      <c r="C2" t="s">
        <v>47</v>
      </c>
      <c r="D2" t="s">
        <v>8</v>
      </c>
    </row>
  </sheetData>
  <phoneticPr fontId="1"/>
  <pageMargins left="0.75" right="0.75" top="1" bottom="1" header="0.51200000000000001" footer="0.51200000000000001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89"/>
  <sheetViews>
    <sheetView workbookViewId="0">
      <selection activeCell="B32" sqref="B32"/>
    </sheetView>
  </sheetViews>
  <sheetFormatPr defaultRowHeight="13.2"/>
  <cols>
    <col min="2" max="2" width="20.109375" customWidth="1"/>
    <col min="3" max="3" width="12.21875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373</v>
      </c>
      <c r="C2" s="1" t="s">
        <v>376</v>
      </c>
      <c r="D2" s="1" t="s">
        <v>377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t="s">
        <v>328</v>
      </c>
      <c r="D4" t="s">
        <v>21</v>
      </c>
    </row>
    <row r="5" spans="1:8">
      <c r="A5" t="s">
        <v>10</v>
      </c>
      <c r="B5" t="s">
        <v>374</v>
      </c>
      <c r="D5" t="s">
        <v>16</v>
      </c>
    </row>
    <row r="6" spans="1:8">
      <c r="A6" t="s">
        <v>11</v>
      </c>
      <c r="B6" t="s">
        <v>375</v>
      </c>
      <c r="D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テーブル作成tb_imaster</v>
      </c>
      <c r="D7" t="s">
        <v>28</v>
      </c>
    </row>
    <row r="8" spans="1:8" ht="14.4">
      <c r="A8" t="s">
        <v>30</v>
      </c>
      <c r="B8" s="2" t="str">
        <f ca="1">LEFT(CELL("filename",A1),FIND("[",CELL("filename",A1))-1) &amp;
 MID(CELL("filename"),SEARCH("[",CELL("filename"))+1, SEARCH("]",CELL("filename"))-SEARCH("[",CELL("filename"))-1)</f>
        <v>H:\phphidaka\210412データ移行.xlsm</v>
      </c>
    </row>
    <row r="9" spans="1:8">
      <c r="B9" t="s">
        <v>18</v>
      </c>
      <c r="D9" t="s">
        <v>19</v>
      </c>
      <c r="E9" t="s">
        <v>22</v>
      </c>
      <c r="F9" t="s">
        <v>22</v>
      </c>
    </row>
    <row r="10" spans="1:8">
      <c r="A10" t="s">
        <v>23</v>
      </c>
      <c r="B10" t="s">
        <v>2</v>
      </c>
      <c r="C10" t="s">
        <v>12</v>
      </c>
      <c r="D10" t="s">
        <v>3</v>
      </c>
      <c r="E10" t="s">
        <v>4</v>
      </c>
      <c r="F10" t="s">
        <v>378</v>
      </c>
      <c r="G10" t="s">
        <v>379</v>
      </c>
      <c r="H10" t="s">
        <v>380</v>
      </c>
    </row>
    <row r="11" spans="1:8">
      <c r="A11">
        <v>1</v>
      </c>
      <c r="B11" t="s">
        <v>381</v>
      </c>
      <c r="C11">
        <v>3</v>
      </c>
      <c r="D11" t="s">
        <v>382</v>
      </c>
      <c r="E11" t="s">
        <v>383</v>
      </c>
      <c r="H11" t="str">
        <f t="shared" ref="H11:H21" si="0">B11</f>
        <v>マスタＩＤ</v>
      </c>
    </row>
    <row r="12" spans="1:8">
      <c r="A12">
        <v>2</v>
      </c>
      <c r="B12" t="s">
        <v>384</v>
      </c>
      <c r="C12">
        <v>202</v>
      </c>
      <c r="D12" t="s">
        <v>385</v>
      </c>
      <c r="E12" t="s">
        <v>386</v>
      </c>
      <c r="F12">
        <v>50</v>
      </c>
      <c r="H12" t="str">
        <f t="shared" si="0"/>
        <v>管理記号</v>
      </c>
    </row>
    <row r="13" spans="1:8">
      <c r="A13">
        <v>3</v>
      </c>
      <c r="B13" t="s">
        <v>387</v>
      </c>
      <c r="C13">
        <v>3</v>
      </c>
      <c r="D13" t="s">
        <v>388</v>
      </c>
      <c r="E13" t="s">
        <v>389</v>
      </c>
      <c r="H13" t="str">
        <f t="shared" si="0"/>
        <v>管理数字</v>
      </c>
    </row>
    <row r="14" spans="1:8">
      <c r="A14">
        <v>4</v>
      </c>
      <c r="B14" t="s">
        <v>390</v>
      </c>
      <c r="C14">
        <v>202</v>
      </c>
      <c r="D14" t="s">
        <v>391</v>
      </c>
      <c r="E14" t="s">
        <v>386</v>
      </c>
      <c r="F14">
        <v>50</v>
      </c>
      <c r="H14" t="str">
        <f t="shared" si="0"/>
        <v>管理補助数字</v>
      </c>
    </row>
    <row r="15" spans="1:8">
      <c r="A15">
        <v>5</v>
      </c>
      <c r="B15" t="s">
        <v>392</v>
      </c>
      <c r="C15">
        <v>202</v>
      </c>
      <c r="D15" t="s">
        <v>393</v>
      </c>
      <c r="E15" t="s">
        <v>386</v>
      </c>
      <c r="F15">
        <v>50</v>
      </c>
      <c r="H15" t="str">
        <f t="shared" si="0"/>
        <v>管理補助記号</v>
      </c>
    </row>
    <row r="16" spans="1:8">
      <c r="A16">
        <v>6</v>
      </c>
      <c r="B16" t="s">
        <v>394</v>
      </c>
      <c r="C16">
        <v>202</v>
      </c>
      <c r="D16" t="s">
        <v>395</v>
      </c>
      <c r="E16" t="s">
        <v>396</v>
      </c>
      <c r="H16" t="str">
        <f t="shared" si="0"/>
        <v>器物分類コード</v>
      </c>
    </row>
    <row r="17" spans="1:8">
      <c r="A17">
        <v>7</v>
      </c>
      <c r="B17" t="s">
        <v>397</v>
      </c>
      <c r="C17">
        <v>202</v>
      </c>
      <c r="D17" t="s">
        <v>398</v>
      </c>
      <c r="E17" t="s">
        <v>386</v>
      </c>
      <c r="F17">
        <v>5</v>
      </c>
      <c r="H17" t="str">
        <f t="shared" si="0"/>
        <v>型式コード</v>
      </c>
    </row>
    <row r="18" spans="1:8">
      <c r="A18">
        <v>8</v>
      </c>
      <c r="B18" t="s">
        <v>399</v>
      </c>
      <c r="C18">
        <v>202</v>
      </c>
      <c r="D18" t="s">
        <v>400</v>
      </c>
      <c r="E18" t="s">
        <v>386</v>
      </c>
      <c r="F18">
        <v>50</v>
      </c>
      <c r="H18" t="str">
        <f t="shared" si="0"/>
        <v>製造番号</v>
      </c>
    </row>
    <row r="19" spans="1:8">
      <c r="A19">
        <v>9</v>
      </c>
      <c r="B19" t="s">
        <v>401</v>
      </c>
      <c r="C19">
        <v>202</v>
      </c>
      <c r="D19" t="s">
        <v>402</v>
      </c>
      <c r="E19" t="s">
        <v>386</v>
      </c>
      <c r="F19">
        <v>50</v>
      </c>
      <c r="H19" t="str">
        <f t="shared" si="0"/>
        <v>サイズ</v>
      </c>
    </row>
    <row r="20" spans="1:8">
      <c r="A20">
        <v>10</v>
      </c>
      <c r="B20" t="s">
        <v>403</v>
      </c>
      <c r="C20">
        <v>5</v>
      </c>
      <c r="D20" t="s">
        <v>404</v>
      </c>
      <c r="E20" t="s">
        <v>144</v>
      </c>
      <c r="H20" t="str">
        <f t="shared" si="0"/>
        <v>通り側</v>
      </c>
    </row>
    <row r="21" spans="1:8">
      <c r="A21">
        <v>11</v>
      </c>
      <c r="B21" t="s">
        <v>405</v>
      </c>
      <c r="C21">
        <v>5</v>
      </c>
      <c r="D21" t="s">
        <v>406</v>
      </c>
      <c r="E21" t="s">
        <v>144</v>
      </c>
      <c r="H21" t="str">
        <f t="shared" si="0"/>
        <v>止まり側</v>
      </c>
    </row>
    <row r="22" spans="1:8">
      <c r="A22">
        <v>12</v>
      </c>
      <c r="B22" t="s">
        <v>407</v>
      </c>
      <c r="D22" t="s">
        <v>408</v>
      </c>
      <c r="E22" t="s">
        <v>144</v>
      </c>
      <c r="H22" t="s">
        <v>407</v>
      </c>
    </row>
    <row r="23" spans="1:8">
      <c r="A23">
        <v>13</v>
      </c>
      <c r="B23" t="s">
        <v>329</v>
      </c>
      <c r="C23">
        <v>202</v>
      </c>
      <c r="D23" t="s">
        <v>409</v>
      </c>
      <c r="E23" t="s">
        <v>386</v>
      </c>
      <c r="F23">
        <v>50</v>
      </c>
      <c r="H23" t="str">
        <f>B23</f>
        <v>寸法２</v>
      </c>
    </row>
    <row r="24" spans="1:8">
      <c r="A24">
        <v>14</v>
      </c>
      <c r="B24" t="s">
        <v>410</v>
      </c>
      <c r="D24" t="s">
        <v>411</v>
      </c>
      <c r="E24" t="s">
        <v>144</v>
      </c>
      <c r="H24" t="s">
        <v>410</v>
      </c>
    </row>
    <row r="25" spans="1:8">
      <c r="A25">
        <v>15</v>
      </c>
      <c r="B25" t="s">
        <v>412</v>
      </c>
      <c r="D25" t="s">
        <v>413</v>
      </c>
      <c r="E25" t="s">
        <v>144</v>
      </c>
      <c r="H25" t="s">
        <v>412</v>
      </c>
    </row>
    <row r="26" spans="1:8">
      <c r="A26">
        <v>16</v>
      </c>
      <c r="B26" t="s">
        <v>414</v>
      </c>
      <c r="D26" t="s">
        <v>415</v>
      </c>
      <c r="E26" t="s">
        <v>144</v>
      </c>
      <c r="H26" t="s">
        <v>414</v>
      </c>
    </row>
    <row r="27" spans="1:8">
      <c r="A27">
        <v>17</v>
      </c>
      <c r="B27" t="s">
        <v>416</v>
      </c>
      <c r="D27" t="s">
        <v>417</v>
      </c>
      <c r="E27" t="s">
        <v>144</v>
      </c>
      <c r="H27" t="s">
        <v>416</v>
      </c>
    </row>
    <row r="28" spans="1:8">
      <c r="A28">
        <v>18</v>
      </c>
      <c r="B28" t="s">
        <v>418</v>
      </c>
      <c r="C28">
        <v>5</v>
      </c>
      <c r="D28" t="s">
        <v>419</v>
      </c>
      <c r="E28" t="s">
        <v>144</v>
      </c>
      <c r="H28" t="str">
        <f t="shared" ref="H28:H89" si="1">B28</f>
        <v>通り側上限</v>
      </c>
    </row>
    <row r="29" spans="1:8">
      <c r="A29">
        <v>19</v>
      </c>
      <c r="B29" t="s">
        <v>420</v>
      </c>
      <c r="C29">
        <v>5</v>
      </c>
      <c r="D29" t="s">
        <v>421</v>
      </c>
      <c r="E29" t="s">
        <v>144</v>
      </c>
      <c r="H29" t="str">
        <f t="shared" si="1"/>
        <v>通り側下限</v>
      </c>
    </row>
    <row r="30" spans="1:8">
      <c r="A30">
        <v>20</v>
      </c>
      <c r="B30" t="s">
        <v>422</v>
      </c>
      <c r="C30">
        <v>5</v>
      </c>
      <c r="D30" t="s">
        <v>423</v>
      </c>
      <c r="E30" t="s">
        <v>144</v>
      </c>
      <c r="H30" t="str">
        <f t="shared" si="1"/>
        <v>止まり側上限</v>
      </c>
    </row>
    <row r="31" spans="1:8">
      <c r="A31">
        <v>21</v>
      </c>
      <c r="B31" t="s">
        <v>424</v>
      </c>
      <c r="C31">
        <v>5</v>
      </c>
      <c r="D31" t="s">
        <v>425</v>
      </c>
      <c r="E31" t="s">
        <v>144</v>
      </c>
      <c r="H31" t="str">
        <f t="shared" si="1"/>
        <v>止まり側下限</v>
      </c>
    </row>
    <row r="32" spans="1:8">
      <c r="A32">
        <v>22</v>
      </c>
      <c r="B32" t="s">
        <v>330</v>
      </c>
      <c r="D32" t="s">
        <v>426</v>
      </c>
      <c r="E32" t="s">
        <v>144</v>
      </c>
      <c r="H32" t="str">
        <f t="shared" si="1"/>
        <v>測定項目3上限</v>
      </c>
    </row>
    <row r="33" spans="1:8">
      <c r="A33">
        <v>23</v>
      </c>
      <c r="B33" t="s">
        <v>331</v>
      </c>
      <c r="D33" t="s">
        <v>427</v>
      </c>
      <c r="E33" t="s">
        <v>144</v>
      </c>
      <c r="H33" t="str">
        <f t="shared" si="1"/>
        <v>測定項目3下限</v>
      </c>
    </row>
    <row r="34" spans="1:8">
      <c r="A34">
        <v>24</v>
      </c>
      <c r="B34" t="s">
        <v>428</v>
      </c>
      <c r="C34">
        <v>202</v>
      </c>
      <c r="D34" t="s">
        <v>429</v>
      </c>
      <c r="E34" t="s">
        <v>430</v>
      </c>
      <c r="F34">
        <v>50</v>
      </c>
      <c r="H34" t="str">
        <f t="shared" si="1"/>
        <v>所番地分類1</v>
      </c>
    </row>
    <row r="35" spans="1:8">
      <c r="A35">
        <v>25</v>
      </c>
      <c r="B35" t="s">
        <v>431</v>
      </c>
      <c r="C35">
        <v>202</v>
      </c>
      <c r="D35" t="s">
        <v>432</v>
      </c>
      <c r="E35" t="s">
        <v>430</v>
      </c>
      <c r="F35">
        <v>50</v>
      </c>
      <c r="H35" t="str">
        <f t="shared" si="1"/>
        <v>所番地分類2</v>
      </c>
    </row>
    <row r="36" spans="1:8">
      <c r="A36">
        <v>26</v>
      </c>
      <c r="B36" t="s">
        <v>433</v>
      </c>
      <c r="C36">
        <v>202</v>
      </c>
      <c r="D36" t="s">
        <v>434</v>
      </c>
      <c r="E36" t="s">
        <v>430</v>
      </c>
      <c r="F36">
        <v>50</v>
      </c>
      <c r="H36" t="str">
        <f t="shared" si="1"/>
        <v>所番地分類3</v>
      </c>
    </row>
    <row r="37" spans="1:8">
      <c r="A37">
        <v>27</v>
      </c>
      <c r="B37" t="s">
        <v>435</v>
      </c>
      <c r="C37">
        <v>202</v>
      </c>
      <c r="D37" t="s">
        <v>436</v>
      </c>
      <c r="E37" t="s">
        <v>430</v>
      </c>
      <c r="F37">
        <v>50</v>
      </c>
      <c r="H37" t="str">
        <f t="shared" si="1"/>
        <v>所番地分類4</v>
      </c>
    </row>
    <row r="38" spans="1:8">
      <c r="A38">
        <v>28</v>
      </c>
      <c r="B38" t="s">
        <v>332</v>
      </c>
      <c r="C38">
        <v>202</v>
      </c>
      <c r="D38" t="s">
        <v>437</v>
      </c>
      <c r="E38" t="s">
        <v>430</v>
      </c>
      <c r="F38">
        <v>50</v>
      </c>
      <c r="H38" t="str">
        <f t="shared" si="1"/>
        <v>置き場1</v>
      </c>
    </row>
    <row r="39" spans="1:8">
      <c r="A39">
        <v>29</v>
      </c>
      <c r="B39" t="s">
        <v>333</v>
      </c>
      <c r="C39">
        <v>202</v>
      </c>
      <c r="D39" t="s">
        <v>438</v>
      </c>
      <c r="E39" t="s">
        <v>430</v>
      </c>
      <c r="F39">
        <v>50</v>
      </c>
      <c r="H39" t="str">
        <f t="shared" si="1"/>
        <v>置き場2</v>
      </c>
    </row>
    <row r="40" spans="1:8">
      <c r="A40">
        <v>30</v>
      </c>
      <c r="B40" t="s">
        <v>439</v>
      </c>
      <c r="C40">
        <v>202</v>
      </c>
      <c r="D40" t="s">
        <v>440</v>
      </c>
      <c r="E40" t="s">
        <v>441</v>
      </c>
      <c r="H40" t="str">
        <f t="shared" si="1"/>
        <v>使用区分コード</v>
      </c>
    </row>
    <row r="41" spans="1:8">
      <c r="A41">
        <v>31</v>
      </c>
      <c r="B41" t="s">
        <v>442</v>
      </c>
      <c r="C41">
        <v>5</v>
      </c>
      <c r="D41" t="s">
        <v>443</v>
      </c>
      <c r="E41" t="s">
        <v>441</v>
      </c>
      <c r="H41" t="str">
        <f t="shared" si="1"/>
        <v>検査周期</v>
      </c>
    </row>
    <row r="42" spans="1:8">
      <c r="A42">
        <v>32</v>
      </c>
      <c r="B42" t="s">
        <v>444</v>
      </c>
      <c r="C42">
        <v>202</v>
      </c>
      <c r="D42" t="s">
        <v>445</v>
      </c>
      <c r="E42" t="s">
        <v>430</v>
      </c>
      <c r="F42">
        <v>300</v>
      </c>
      <c r="H42" t="str">
        <f t="shared" si="1"/>
        <v>備考１</v>
      </c>
    </row>
    <row r="43" spans="1:8">
      <c r="A43">
        <v>33</v>
      </c>
      <c r="B43" t="s">
        <v>446</v>
      </c>
      <c r="C43">
        <v>202</v>
      </c>
      <c r="D43" t="s">
        <v>334</v>
      </c>
      <c r="E43" t="s">
        <v>430</v>
      </c>
      <c r="F43">
        <v>300</v>
      </c>
      <c r="H43" t="str">
        <f t="shared" si="1"/>
        <v>備考２</v>
      </c>
    </row>
    <row r="44" spans="1:8">
      <c r="A44">
        <v>34</v>
      </c>
      <c r="B44" t="s">
        <v>447</v>
      </c>
      <c r="C44">
        <v>202</v>
      </c>
      <c r="D44" t="s">
        <v>335</v>
      </c>
      <c r="E44" t="s">
        <v>430</v>
      </c>
      <c r="F44">
        <v>300</v>
      </c>
      <c r="H44" t="str">
        <f t="shared" si="1"/>
        <v>備考３</v>
      </c>
    </row>
    <row r="45" spans="1:8">
      <c r="A45">
        <v>35</v>
      </c>
      <c r="B45" t="s">
        <v>448</v>
      </c>
      <c r="C45">
        <v>202</v>
      </c>
      <c r="D45" t="s">
        <v>336</v>
      </c>
      <c r="E45" t="s">
        <v>430</v>
      </c>
      <c r="F45">
        <v>300</v>
      </c>
      <c r="H45" t="str">
        <f t="shared" si="1"/>
        <v>備考４</v>
      </c>
    </row>
    <row r="46" spans="1:8">
      <c r="A46">
        <v>36</v>
      </c>
      <c r="B46" t="s">
        <v>449</v>
      </c>
      <c r="C46">
        <v>202</v>
      </c>
      <c r="D46" t="s">
        <v>450</v>
      </c>
      <c r="E46" t="s">
        <v>441</v>
      </c>
      <c r="H46" t="str">
        <f t="shared" si="1"/>
        <v>器物大分類コード</v>
      </c>
    </row>
    <row r="47" spans="1:8">
      <c r="A47">
        <v>37</v>
      </c>
      <c r="B47" t="s">
        <v>451</v>
      </c>
      <c r="C47">
        <v>202</v>
      </c>
      <c r="D47" t="s">
        <v>452</v>
      </c>
      <c r="E47" t="s">
        <v>441</v>
      </c>
      <c r="H47" t="str">
        <f t="shared" si="1"/>
        <v>検査項目コード</v>
      </c>
    </row>
    <row r="48" spans="1:8">
      <c r="A48">
        <v>38</v>
      </c>
      <c r="B48" t="s">
        <v>453</v>
      </c>
      <c r="C48">
        <v>7</v>
      </c>
      <c r="D48" t="s">
        <v>454</v>
      </c>
      <c r="E48" t="s">
        <v>489</v>
      </c>
      <c r="H48" t="str">
        <f t="shared" si="1"/>
        <v>登録年月日</v>
      </c>
    </row>
    <row r="49" spans="1:8">
      <c r="A49">
        <v>39</v>
      </c>
      <c r="B49" t="s">
        <v>455</v>
      </c>
      <c r="C49">
        <v>202</v>
      </c>
      <c r="D49" t="s">
        <v>456</v>
      </c>
      <c r="E49" t="s">
        <v>430</v>
      </c>
      <c r="F49">
        <v>5</v>
      </c>
      <c r="H49" t="str">
        <f t="shared" si="1"/>
        <v>登録者コード</v>
      </c>
    </row>
    <row r="50" spans="1:8">
      <c r="A50">
        <v>40</v>
      </c>
      <c r="B50" t="s">
        <v>457</v>
      </c>
      <c r="C50">
        <v>7</v>
      </c>
      <c r="D50" t="s">
        <v>458</v>
      </c>
      <c r="E50" t="s">
        <v>489</v>
      </c>
      <c r="H50" t="str">
        <f t="shared" si="1"/>
        <v>最新校正日</v>
      </c>
    </row>
    <row r="51" spans="1:8">
      <c r="A51">
        <v>41</v>
      </c>
      <c r="B51" t="s">
        <v>459</v>
      </c>
      <c r="C51">
        <v>7</v>
      </c>
      <c r="D51" t="s">
        <v>460</v>
      </c>
      <c r="E51" t="s">
        <v>489</v>
      </c>
      <c r="H51" t="str">
        <f t="shared" si="1"/>
        <v>次回校正日</v>
      </c>
    </row>
    <row r="52" spans="1:8">
      <c r="A52">
        <v>42</v>
      </c>
      <c r="B52" t="s">
        <v>461</v>
      </c>
      <c r="C52">
        <v>2</v>
      </c>
      <c r="D52" t="s">
        <v>462</v>
      </c>
      <c r="E52" t="s">
        <v>463</v>
      </c>
      <c r="H52" t="str">
        <f t="shared" si="1"/>
        <v>廃棄FLAG</v>
      </c>
    </row>
    <row r="53" spans="1:8">
      <c r="A53">
        <v>43</v>
      </c>
      <c r="B53" t="s">
        <v>337</v>
      </c>
      <c r="C53">
        <v>2</v>
      </c>
      <c r="D53" t="s">
        <v>464</v>
      </c>
      <c r="E53" t="s">
        <v>396</v>
      </c>
      <c r="H53" t="str">
        <f t="shared" si="1"/>
        <v>図面有無</v>
      </c>
    </row>
    <row r="54" spans="1:8">
      <c r="A54">
        <v>44</v>
      </c>
      <c r="B54" t="s">
        <v>338</v>
      </c>
      <c r="C54">
        <v>202</v>
      </c>
      <c r="D54" t="s">
        <v>339</v>
      </c>
      <c r="E54" t="s">
        <v>386</v>
      </c>
      <c r="F54">
        <v>50</v>
      </c>
      <c r="H54" t="str">
        <f t="shared" si="1"/>
        <v>製造年月日</v>
      </c>
    </row>
    <row r="55" spans="1:8">
      <c r="A55">
        <v>45</v>
      </c>
      <c r="B55" t="s">
        <v>340</v>
      </c>
      <c r="C55">
        <v>202</v>
      </c>
      <c r="D55" t="s">
        <v>465</v>
      </c>
      <c r="E55" t="s">
        <v>386</v>
      </c>
      <c r="F55">
        <v>50</v>
      </c>
      <c r="H55" t="str">
        <f t="shared" si="1"/>
        <v>品番</v>
      </c>
    </row>
    <row r="56" spans="1:8">
      <c r="A56">
        <v>46</v>
      </c>
      <c r="B56" t="s">
        <v>135</v>
      </c>
      <c r="C56">
        <v>202</v>
      </c>
      <c r="D56" t="s">
        <v>466</v>
      </c>
      <c r="E56" t="s">
        <v>386</v>
      </c>
      <c r="F56">
        <v>300</v>
      </c>
      <c r="H56" t="str">
        <f t="shared" si="1"/>
        <v>全名称</v>
      </c>
    </row>
    <row r="57" spans="1:8">
      <c r="A57">
        <v>47</v>
      </c>
      <c r="B57" t="s">
        <v>134</v>
      </c>
      <c r="C57">
        <v>202</v>
      </c>
      <c r="D57" t="s">
        <v>467</v>
      </c>
      <c r="E57" t="s">
        <v>386</v>
      </c>
      <c r="F57">
        <v>300</v>
      </c>
      <c r="H57" t="str">
        <f t="shared" si="1"/>
        <v>型式</v>
      </c>
    </row>
    <row r="58" spans="1:8">
      <c r="A58">
        <v>48</v>
      </c>
      <c r="B58" t="s">
        <v>119</v>
      </c>
      <c r="C58">
        <v>202</v>
      </c>
      <c r="D58" t="s">
        <v>468</v>
      </c>
      <c r="E58" t="s">
        <v>386</v>
      </c>
      <c r="F58">
        <v>300</v>
      </c>
      <c r="H58" t="str">
        <f t="shared" si="1"/>
        <v>器物分類名</v>
      </c>
    </row>
    <row r="59" spans="1:8">
      <c r="A59">
        <v>49</v>
      </c>
      <c r="B59" t="s">
        <v>341</v>
      </c>
      <c r="C59">
        <v>202</v>
      </c>
      <c r="D59" t="s">
        <v>469</v>
      </c>
      <c r="E59" t="s">
        <v>386</v>
      </c>
      <c r="F59">
        <v>300</v>
      </c>
      <c r="H59" t="str">
        <f t="shared" si="1"/>
        <v>器物大分類名</v>
      </c>
    </row>
    <row r="60" spans="1:8">
      <c r="A60">
        <v>50</v>
      </c>
      <c r="B60" t="s">
        <v>342</v>
      </c>
      <c r="C60">
        <v>202</v>
      </c>
      <c r="D60" t="s">
        <v>470</v>
      </c>
      <c r="E60" t="s">
        <v>386</v>
      </c>
      <c r="F60">
        <v>300</v>
      </c>
      <c r="H60" t="str">
        <f t="shared" si="1"/>
        <v>所番地1</v>
      </c>
    </row>
    <row r="61" spans="1:8">
      <c r="A61">
        <v>51</v>
      </c>
      <c r="B61" t="s">
        <v>343</v>
      </c>
      <c r="C61">
        <v>202</v>
      </c>
      <c r="D61" t="s">
        <v>344</v>
      </c>
      <c r="E61" t="s">
        <v>386</v>
      </c>
      <c r="F61">
        <v>300</v>
      </c>
      <c r="H61" t="str">
        <f t="shared" si="1"/>
        <v>所番地2</v>
      </c>
    </row>
    <row r="62" spans="1:8">
      <c r="A62">
        <v>52</v>
      </c>
      <c r="B62" t="s">
        <v>345</v>
      </c>
      <c r="C62">
        <v>202</v>
      </c>
      <c r="D62" t="s">
        <v>346</v>
      </c>
      <c r="E62" t="s">
        <v>386</v>
      </c>
      <c r="F62">
        <v>300</v>
      </c>
      <c r="H62" t="str">
        <f t="shared" si="1"/>
        <v>所番地3</v>
      </c>
    </row>
    <row r="63" spans="1:8">
      <c r="A63">
        <v>53</v>
      </c>
      <c r="B63" t="s">
        <v>347</v>
      </c>
      <c r="C63">
        <v>202</v>
      </c>
      <c r="D63" t="s">
        <v>348</v>
      </c>
      <c r="E63" t="s">
        <v>386</v>
      </c>
      <c r="F63">
        <v>300</v>
      </c>
      <c r="H63" t="str">
        <f t="shared" si="1"/>
        <v>所番地4</v>
      </c>
    </row>
    <row r="64" spans="1:8">
      <c r="A64">
        <v>54</v>
      </c>
      <c r="B64" t="s">
        <v>137</v>
      </c>
      <c r="C64">
        <v>202</v>
      </c>
      <c r="D64" t="s">
        <v>138</v>
      </c>
      <c r="E64" t="s">
        <v>386</v>
      </c>
      <c r="F64">
        <v>300</v>
      </c>
      <c r="H64" t="str">
        <f t="shared" si="1"/>
        <v>検査項目1</v>
      </c>
    </row>
    <row r="65" spans="1:8">
      <c r="A65">
        <v>55</v>
      </c>
      <c r="B65" t="s">
        <v>139</v>
      </c>
      <c r="C65">
        <v>202</v>
      </c>
      <c r="D65" t="s">
        <v>140</v>
      </c>
      <c r="E65" t="s">
        <v>386</v>
      </c>
      <c r="F65">
        <v>300</v>
      </c>
      <c r="H65" t="str">
        <f t="shared" si="1"/>
        <v>検査項目2</v>
      </c>
    </row>
    <row r="66" spans="1:8">
      <c r="A66">
        <v>56</v>
      </c>
      <c r="B66" t="s">
        <v>141</v>
      </c>
      <c r="C66">
        <v>202</v>
      </c>
      <c r="D66" t="s">
        <v>142</v>
      </c>
      <c r="E66" t="s">
        <v>386</v>
      </c>
      <c r="F66">
        <v>300</v>
      </c>
      <c r="H66" t="str">
        <f t="shared" si="1"/>
        <v>検査項目3</v>
      </c>
    </row>
    <row r="67" spans="1:8">
      <c r="A67">
        <v>57</v>
      </c>
      <c r="B67" t="s">
        <v>349</v>
      </c>
      <c r="C67">
        <v>202</v>
      </c>
      <c r="D67" t="s">
        <v>471</v>
      </c>
      <c r="E67" t="s">
        <v>386</v>
      </c>
      <c r="F67">
        <v>300</v>
      </c>
      <c r="H67" t="str">
        <f t="shared" si="1"/>
        <v>型式番号</v>
      </c>
    </row>
    <row r="68" spans="1:8">
      <c r="A68">
        <v>58</v>
      </c>
      <c r="B68" t="s">
        <v>136</v>
      </c>
      <c r="C68">
        <v>202</v>
      </c>
      <c r="D68" t="s">
        <v>472</v>
      </c>
      <c r="E68" t="s">
        <v>386</v>
      </c>
      <c r="F68">
        <v>300</v>
      </c>
      <c r="H68" t="str">
        <f t="shared" si="1"/>
        <v>校正器番号</v>
      </c>
    </row>
    <row r="69" spans="1:8">
      <c r="A69">
        <v>59</v>
      </c>
      <c r="B69" t="s">
        <v>350</v>
      </c>
      <c r="C69">
        <v>3</v>
      </c>
      <c r="D69" t="s">
        <v>351</v>
      </c>
      <c r="E69" t="s">
        <v>396</v>
      </c>
      <c r="H69" t="str">
        <f t="shared" si="1"/>
        <v>桁</v>
      </c>
    </row>
    <row r="70" spans="1:8">
      <c r="A70">
        <v>60</v>
      </c>
      <c r="B70" t="s">
        <v>352</v>
      </c>
      <c r="C70">
        <v>202</v>
      </c>
      <c r="D70" t="s">
        <v>473</v>
      </c>
      <c r="E70" t="s">
        <v>386</v>
      </c>
      <c r="F70">
        <v>300</v>
      </c>
      <c r="H70" t="str">
        <f t="shared" si="1"/>
        <v>検査項目名</v>
      </c>
    </row>
    <row r="71" spans="1:8">
      <c r="A71">
        <v>61</v>
      </c>
      <c r="B71" t="s">
        <v>353</v>
      </c>
      <c r="C71">
        <v>202</v>
      </c>
      <c r="D71" t="s">
        <v>474</v>
      </c>
      <c r="E71" t="s">
        <v>386</v>
      </c>
      <c r="F71">
        <v>300</v>
      </c>
      <c r="H71" t="str">
        <f t="shared" si="1"/>
        <v>使用区分</v>
      </c>
    </row>
    <row r="72" spans="1:8">
      <c r="A72">
        <v>62</v>
      </c>
      <c r="B72" t="s">
        <v>354</v>
      </c>
      <c r="C72">
        <v>202</v>
      </c>
      <c r="D72" t="s">
        <v>475</v>
      </c>
      <c r="E72" t="s">
        <v>386</v>
      </c>
      <c r="F72">
        <v>50</v>
      </c>
      <c r="H72" t="str">
        <f t="shared" si="1"/>
        <v>登録者名</v>
      </c>
    </row>
    <row r="73" spans="1:8">
      <c r="A73">
        <v>63</v>
      </c>
      <c r="B73" t="s">
        <v>355</v>
      </c>
      <c r="C73">
        <v>202</v>
      </c>
      <c r="D73" t="s">
        <v>476</v>
      </c>
      <c r="E73" t="s">
        <v>386</v>
      </c>
      <c r="F73">
        <v>300</v>
      </c>
      <c r="H73" t="str">
        <f t="shared" si="1"/>
        <v>検査項目名1</v>
      </c>
    </row>
    <row r="74" spans="1:8">
      <c r="A74">
        <v>64</v>
      </c>
      <c r="B74" t="s">
        <v>356</v>
      </c>
      <c r="C74">
        <v>202</v>
      </c>
      <c r="D74" t="s">
        <v>477</v>
      </c>
      <c r="E74" t="s">
        <v>386</v>
      </c>
      <c r="F74">
        <v>300</v>
      </c>
      <c r="H74" t="str">
        <f t="shared" si="1"/>
        <v>検査項目名2</v>
      </c>
    </row>
    <row r="75" spans="1:8">
      <c r="A75">
        <v>65</v>
      </c>
      <c r="B75" t="s">
        <v>357</v>
      </c>
      <c r="C75">
        <v>202</v>
      </c>
      <c r="D75" t="s">
        <v>478</v>
      </c>
      <c r="E75" t="s">
        <v>386</v>
      </c>
      <c r="F75">
        <v>300</v>
      </c>
      <c r="H75" t="str">
        <f t="shared" si="1"/>
        <v>検査項目名3</v>
      </c>
    </row>
    <row r="76" spans="1:8">
      <c r="A76">
        <v>66</v>
      </c>
      <c r="B76" t="s">
        <v>150</v>
      </c>
      <c r="C76">
        <v>202</v>
      </c>
      <c r="D76" t="s">
        <v>479</v>
      </c>
      <c r="E76" t="s">
        <v>386</v>
      </c>
      <c r="F76">
        <v>300</v>
      </c>
      <c r="H76" t="str">
        <f t="shared" si="1"/>
        <v>検査項目内容1</v>
      </c>
    </row>
    <row r="77" spans="1:8">
      <c r="A77">
        <v>67</v>
      </c>
      <c r="B77" t="s">
        <v>151</v>
      </c>
      <c r="C77">
        <v>202</v>
      </c>
      <c r="D77" t="s">
        <v>480</v>
      </c>
      <c r="E77" t="s">
        <v>386</v>
      </c>
      <c r="F77">
        <v>300</v>
      </c>
      <c r="H77" t="str">
        <f t="shared" si="1"/>
        <v>検査項目内容2</v>
      </c>
    </row>
    <row r="78" spans="1:8">
      <c r="A78">
        <v>68</v>
      </c>
      <c r="B78" t="s">
        <v>152</v>
      </c>
      <c r="C78">
        <v>202</v>
      </c>
      <c r="D78" t="s">
        <v>481</v>
      </c>
      <c r="E78" t="s">
        <v>386</v>
      </c>
      <c r="F78">
        <v>300</v>
      </c>
      <c r="H78" t="str">
        <f t="shared" si="1"/>
        <v>検査項目内容3</v>
      </c>
    </row>
    <row r="79" spans="1:8">
      <c r="A79">
        <v>69</v>
      </c>
      <c r="B79" t="s">
        <v>358</v>
      </c>
      <c r="C79">
        <v>202</v>
      </c>
      <c r="D79" t="s">
        <v>359</v>
      </c>
      <c r="E79" t="s">
        <v>396</v>
      </c>
      <c r="H79" t="str">
        <f t="shared" si="1"/>
        <v>製造社コード</v>
      </c>
    </row>
    <row r="80" spans="1:8">
      <c r="A80">
        <v>70</v>
      </c>
      <c r="B80" t="s">
        <v>360</v>
      </c>
      <c r="C80">
        <v>5</v>
      </c>
      <c r="D80" t="s">
        <v>361</v>
      </c>
      <c r="E80" t="s">
        <v>389</v>
      </c>
      <c r="H80" t="str">
        <f t="shared" si="1"/>
        <v>単価</v>
      </c>
    </row>
    <row r="81" spans="1:8">
      <c r="A81">
        <v>71</v>
      </c>
      <c r="B81" t="s">
        <v>362</v>
      </c>
      <c r="C81">
        <v>7</v>
      </c>
      <c r="D81" t="s">
        <v>363</v>
      </c>
      <c r="E81" t="s">
        <v>489</v>
      </c>
      <c r="H81" t="str">
        <f t="shared" si="1"/>
        <v>納入日</v>
      </c>
    </row>
    <row r="82" spans="1:8">
      <c r="A82">
        <v>72</v>
      </c>
      <c r="B82" t="s">
        <v>364</v>
      </c>
      <c r="C82">
        <v>202</v>
      </c>
      <c r="D82" t="s">
        <v>365</v>
      </c>
      <c r="E82" t="s">
        <v>396</v>
      </c>
      <c r="H82" t="str">
        <f t="shared" si="1"/>
        <v>納入者コード</v>
      </c>
    </row>
    <row r="83" spans="1:8">
      <c r="A83">
        <v>73</v>
      </c>
      <c r="B83" t="s">
        <v>366</v>
      </c>
      <c r="C83">
        <v>2</v>
      </c>
      <c r="D83" t="s">
        <v>482</v>
      </c>
      <c r="E83" t="s">
        <v>386</v>
      </c>
      <c r="F83">
        <v>300</v>
      </c>
      <c r="H83" t="str">
        <f t="shared" si="1"/>
        <v>要領書</v>
      </c>
    </row>
    <row r="84" spans="1:8">
      <c r="A84">
        <v>74</v>
      </c>
      <c r="B84" t="s">
        <v>367</v>
      </c>
      <c r="C84">
        <v>202</v>
      </c>
      <c r="D84" t="s">
        <v>483</v>
      </c>
      <c r="E84" t="s">
        <v>386</v>
      </c>
      <c r="F84">
        <v>300</v>
      </c>
      <c r="H84" t="str">
        <f t="shared" si="1"/>
        <v>製造社</v>
      </c>
    </row>
    <row r="85" spans="1:8">
      <c r="A85">
        <v>75</v>
      </c>
      <c r="B85" t="s">
        <v>368</v>
      </c>
      <c r="C85">
        <v>202</v>
      </c>
      <c r="D85" t="s">
        <v>484</v>
      </c>
      <c r="E85" t="s">
        <v>386</v>
      </c>
      <c r="F85">
        <v>300</v>
      </c>
      <c r="H85" t="str">
        <f t="shared" si="1"/>
        <v>受入証明名称</v>
      </c>
    </row>
    <row r="86" spans="1:8">
      <c r="A86">
        <v>76</v>
      </c>
      <c r="B86" t="s">
        <v>369</v>
      </c>
      <c r="C86">
        <v>202</v>
      </c>
      <c r="D86" t="s">
        <v>485</v>
      </c>
      <c r="E86" t="s">
        <v>386</v>
      </c>
      <c r="F86">
        <v>300</v>
      </c>
      <c r="H86" t="str">
        <f t="shared" si="1"/>
        <v>納入社</v>
      </c>
    </row>
    <row r="87" spans="1:8">
      <c r="A87">
        <v>77</v>
      </c>
      <c r="B87" t="s">
        <v>370</v>
      </c>
      <c r="C87">
        <v>202</v>
      </c>
      <c r="D87" t="s">
        <v>486</v>
      </c>
      <c r="E87" t="s">
        <v>396</v>
      </c>
      <c r="H87" t="str">
        <f t="shared" si="1"/>
        <v>受入証明コード</v>
      </c>
    </row>
    <row r="88" spans="1:8">
      <c r="A88">
        <v>78</v>
      </c>
      <c r="B88" t="s">
        <v>371</v>
      </c>
      <c r="C88">
        <v>202</v>
      </c>
      <c r="D88" t="s">
        <v>487</v>
      </c>
      <c r="E88" t="s">
        <v>386</v>
      </c>
      <c r="F88">
        <v>300</v>
      </c>
      <c r="H88" t="str">
        <f t="shared" si="1"/>
        <v>入荷情報備考</v>
      </c>
    </row>
    <row r="89" spans="1:8">
      <c r="A89">
        <v>79</v>
      </c>
      <c r="B89" t="s">
        <v>372</v>
      </c>
      <c r="C89">
        <v>2</v>
      </c>
      <c r="D89" t="s">
        <v>488</v>
      </c>
      <c r="E89" t="s">
        <v>396</v>
      </c>
      <c r="H89" t="str">
        <f t="shared" si="1"/>
        <v>レベル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2"/>
  <sheetViews>
    <sheetView workbookViewId="0"/>
  </sheetViews>
  <sheetFormatPr defaultRowHeight="13.2"/>
  <sheetData>
    <row r="1" spans="1:4">
      <c r="A1" t="s">
        <v>5</v>
      </c>
      <c r="C1" t="s">
        <v>6</v>
      </c>
      <c r="D1" t="s">
        <v>212</v>
      </c>
    </row>
    <row r="2" spans="1:4">
      <c r="A2" t="s">
        <v>48</v>
      </c>
      <c r="C2" t="s">
        <v>214</v>
      </c>
      <c r="D2" t="s">
        <v>213</v>
      </c>
    </row>
  </sheetData>
  <phoneticPr fontId="1"/>
  <pageMargins left="0.75" right="0.75" top="1" bottom="1" header="0.51200000000000001" footer="0.51200000000000001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5"/>
  <dimension ref="A1:H47"/>
  <sheetViews>
    <sheetView workbookViewId="0"/>
  </sheetViews>
  <sheetFormatPr defaultRowHeight="13.2"/>
  <cols>
    <col min="1" max="1" width="13.109375" customWidth="1"/>
    <col min="2" max="2" width="38.21875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215</v>
      </c>
      <c r="C2" s="1" t="s">
        <v>225</v>
      </c>
      <c r="D2" s="1" t="s">
        <v>226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222</v>
      </c>
      <c r="C4" t="s">
        <v>216</v>
      </c>
    </row>
    <row r="5" spans="1:8">
      <c r="A5" t="s">
        <v>10</v>
      </c>
      <c r="B5" s="1" t="s">
        <v>223</v>
      </c>
      <c r="C5" t="s">
        <v>16</v>
      </c>
    </row>
    <row r="6" spans="1:8">
      <c r="A6" t="s">
        <v>11</v>
      </c>
      <c r="B6" s="1" t="s">
        <v>224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テーブル作成_tb_hmaster</v>
      </c>
      <c r="C7" t="s">
        <v>28</v>
      </c>
    </row>
    <row r="8" spans="1:8" ht="14.4">
      <c r="A8" t="s">
        <v>30</v>
      </c>
      <c r="B8" s="2" t="str">
        <f ca="1">LEFT(CELL("filename",A1),FIND("[",CELL("filename",A1))-1) &amp;
 MID(CELL("filename"),SEARCH("[",CELL("filename"))+1, SEARCH("]",CELL("filename"))-SEARCH("[",CELL("filename"))-1)</f>
        <v>H:\phphidaka\210412データ移行.xlsm</v>
      </c>
    </row>
    <row r="9" spans="1:8">
      <c r="B9" t="s">
        <v>18</v>
      </c>
      <c r="D9" t="s">
        <v>19</v>
      </c>
      <c r="E9" t="s">
        <v>217</v>
      </c>
      <c r="F9" t="s">
        <v>217</v>
      </c>
      <c r="G9" t="s">
        <v>217</v>
      </c>
      <c r="H9" t="s">
        <v>217</v>
      </c>
    </row>
    <row r="10" spans="1:8">
      <c r="A10" t="s">
        <v>218</v>
      </c>
      <c r="B10" t="s">
        <v>2</v>
      </c>
      <c r="C10" t="s">
        <v>12</v>
      </c>
      <c r="D10" t="s">
        <v>3</v>
      </c>
      <c r="E10" t="s">
        <v>4</v>
      </c>
      <c r="F10" t="s">
        <v>219</v>
      </c>
      <c r="G10" t="s">
        <v>220</v>
      </c>
      <c r="H10" t="s">
        <v>221</v>
      </c>
    </row>
    <row r="11" spans="1:8" ht="14.4">
      <c r="A11">
        <v>1</v>
      </c>
      <c r="B11" t="s">
        <v>264</v>
      </c>
      <c r="C11">
        <v>202</v>
      </c>
      <c r="D11" s="3" t="s">
        <v>230</v>
      </c>
      <c r="E11" t="s">
        <v>260</v>
      </c>
      <c r="F11">
        <v>10</v>
      </c>
      <c r="H11" t="str">
        <f>B11</f>
        <v>ID</v>
      </c>
    </row>
    <row r="12" spans="1:8" ht="14.4">
      <c r="A12">
        <v>2</v>
      </c>
      <c r="B12" t="s">
        <v>265</v>
      </c>
      <c r="C12">
        <v>202</v>
      </c>
      <c r="D12" s="3" t="s">
        <v>231</v>
      </c>
      <c r="E12" t="s">
        <v>260</v>
      </c>
      <c r="F12">
        <v>50</v>
      </c>
      <c r="H12" t="str">
        <f t="shared" ref="H12:H47" si="0">B12</f>
        <v>会社名</v>
      </c>
    </row>
    <row r="13" spans="1:8" ht="14.4">
      <c r="A13">
        <v>3</v>
      </c>
      <c r="B13" t="s">
        <v>266</v>
      </c>
      <c r="C13">
        <v>202</v>
      </c>
      <c r="D13" s="3" t="s">
        <v>232</v>
      </c>
      <c r="E13" t="s">
        <v>260</v>
      </c>
      <c r="F13">
        <v>50</v>
      </c>
      <c r="H13" t="str">
        <f t="shared" si="0"/>
        <v>担当員</v>
      </c>
    </row>
    <row r="14" spans="1:8" ht="14.4">
      <c r="A14">
        <v>4</v>
      </c>
      <c r="B14" t="s">
        <v>267</v>
      </c>
      <c r="C14">
        <v>202</v>
      </c>
      <c r="D14" s="3" t="s">
        <v>233</v>
      </c>
      <c r="E14" t="s">
        <v>260</v>
      </c>
      <c r="F14">
        <v>50</v>
      </c>
      <c r="H14" t="str">
        <f t="shared" si="0"/>
        <v>所番地分類1</v>
      </c>
    </row>
    <row r="15" spans="1:8" ht="14.4">
      <c r="A15">
        <v>5</v>
      </c>
      <c r="B15" t="s">
        <v>268</v>
      </c>
      <c r="C15">
        <v>202</v>
      </c>
      <c r="D15" s="3" t="s">
        <v>234</v>
      </c>
      <c r="E15" t="s">
        <v>260</v>
      </c>
      <c r="F15">
        <v>50</v>
      </c>
      <c r="H15" t="str">
        <f t="shared" si="0"/>
        <v>所番地分類2</v>
      </c>
    </row>
    <row r="16" spans="1:8" ht="14.4">
      <c r="A16">
        <v>6</v>
      </c>
      <c r="B16" t="s">
        <v>269</v>
      </c>
      <c r="C16">
        <v>202</v>
      </c>
      <c r="D16" s="3" t="s">
        <v>235</v>
      </c>
      <c r="E16" t="s">
        <v>260</v>
      </c>
      <c r="F16">
        <v>50</v>
      </c>
      <c r="H16" t="str">
        <f t="shared" si="0"/>
        <v>所番地分類3</v>
      </c>
    </row>
    <row r="17" spans="1:8" ht="14.4">
      <c r="A17">
        <v>7</v>
      </c>
      <c r="B17" t="s">
        <v>270</v>
      </c>
      <c r="C17">
        <v>202</v>
      </c>
      <c r="D17" s="3" t="s">
        <v>236</v>
      </c>
      <c r="E17" t="s">
        <v>260</v>
      </c>
      <c r="F17">
        <v>50</v>
      </c>
      <c r="H17" t="str">
        <f t="shared" si="0"/>
        <v>所番地分類4</v>
      </c>
    </row>
    <row r="18" spans="1:8" ht="14.4">
      <c r="A18">
        <v>8</v>
      </c>
      <c r="B18" t="s">
        <v>271</v>
      </c>
      <c r="C18">
        <v>202</v>
      </c>
      <c r="D18" s="3" t="s">
        <v>237</v>
      </c>
      <c r="E18" t="s">
        <v>260</v>
      </c>
      <c r="F18">
        <v>50</v>
      </c>
      <c r="H18" t="str">
        <f t="shared" si="0"/>
        <v>置き場1</v>
      </c>
    </row>
    <row r="19" spans="1:8">
      <c r="A19">
        <v>9</v>
      </c>
      <c r="B19" t="s">
        <v>272</v>
      </c>
      <c r="C19">
        <v>202</v>
      </c>
      <c r="D19" t="s">
        <v>227</v>
      </c>
      <c r="E19" t="s">
        <v>260</v>
      </c>
      <c r="F19">
        <v>50</v>
      </c>
      <c r="H19" t="str">
        <f t="shared" si="0"/>
        <v>db_path</v>
      </c>
    </row>
    <row r="20" spans="1:8">
      <c r="A20">
        <v>10</v>
      </c>
      <c r="B20" t="s">
        <v>273</v>
      </c>
      <c r="C20">
        <v>202</v>
      </c>
      <c r="D20" t="s">
        <v>262</v>
      </c>
      <c r="E20" t="s">
        <v>260</v>
      </c>
      <c r="F20">
        <v>50</v>
      </c>
      <c r="H20" t="str">
        <f t="shared" si="0"/>
        <v>data_path</v>
      </c>
    </row>
    <row r="21" spans="1:8" ht="14.4">
      <c r="A21">
        <v>11</v>
      </c>
      <c r="B21" t="s">
        <v>274</v>
      </c>
      <c r="C21">
        <v>202</v>
      </c>
      <c r="D21" s="3" t="s">
        <v>299</v>
      </c>
      <c r="E21" t="s">
        <v>260</v>
      </c>
      <c r="F21">
        <v>50</v>
      </c>
      <c r="H21" t="str">
        <f t="shared" si="0"/>
        <v>備考</v>
      </c>
    </row>
    <row r="22" spans="1:8" ht="14.4">
      <c r="A22">
        <v>12</v>
      </c>
      <c r="B22" t="s">
        <v>275</v>
      </c>
      <c r="C22">
        <v>11</v>
      </c>
      <c r="D22" s="3" t="s">
        <v>238</v>
      </c>
      <c r="E22" t="s">
        <v>261</v>
      </c>
      <c r="F22">
        <v>1</v>
      </c>
      <c r="H22" t="str">
        <f t="shared" si="0"/>
        <v>自動作成機能</v>
      </c>
    </row>
    <row r="23" spans="1:8" ht="14.4">
      <c r="A23">
        <v>13</v>
      </c>
      <c r="B23" t="s">
        <v>276</v>
      </c>
      <c r="C23">
        <v>11</v>
      </c>
      <c r="D23" s="3" t="s">
        <v>239</v>
      </c>
      <c r="E23" t="s">
        <v>261</v>
      </c>
      <c r="F23">
        <v>1</v>
      </c>
      <c r="H23" t="str">
        <f t="shared" si="0"/>
        <v>管理状態表示</v>
      </c>
    </row>
    <row r="24" spans="1:8" ht="14.4">
      <c r="A24">
        <v>14</v>
      </c>
      <c r="B24" t="s">
        <v>277</v>
      </c>
      <c r="C24">
        <v>11</v>
      </c>
      <c r="D24" s="3" t="s">
        <v>240</v>
      </c>
      <c r="E24" t="s">
        <v>261</v>
      </c>
      <c r="F24">
        <v>1</v>
      </c>
      <c r="H24" t="str">
        <f t="shared" si="0"/>
        <v>検査周期表示</v>
      </c>
    </row>
    <row r="25" spans="1:8" ht="14.4">
      <c r="A25">
        <v>15</v>
      </c>
      <c r="B25" t="s">
        <v>278</v>
      </c>
      <c r="C25">
        <v>11</v>
      </c>
      <c r="D25" s="3" t="s">
        <v>241</v>
      </c>
      <c r="E25" t="s">
        <v>261</v>
      </c>
      <c r="F25">
        <v>1</v>
      </c>
      <c r="H25" t="str">
        <f t="shared" si="0"/>
        <v>データ確認欄表示</v>
      </c>
    </row>
    <row r="26" spans="1:8" ht="14.4">
      <c r="A26">
        <v>16</v>
      </c>
      <c r="B26" t="s">
        <v>279</v>
      </c>
      <c r="C26">
        <v>11</v>
      </c>
      <c r="D26" s="3" t="s">
        <v>242</v>
      </c>
      <c r="E26" t="s">
        <v>261</v>
      </c>
      <c r="F26">
        <v>1</v>
      </c>
      <c r="H26" t="str">
        <f t="shared" si="0"/>
        <v>校正結果詳細表示</v>
      </c>
    </row>
    <row r="27" spans="1:8" ht="14.4">
      <c r="A27">
        <v>17</v>
      </c>
      <c r="B27" t="s">
        <v>280</v>
      </c>
      <c r="C27">
        <v>11</v>
      </c>
      <c r="D27" s="3" t="s">
        <v>243</v>
      </c>
      <c r="E27" t="s">
        <v>261</v>
      </c>
      <c r="F27">
        <v>1</v>
      </c>
      <c r="H27" t="str">
        <f t="shared" si="0"/>
        <v>期限切れ表示</v>
      </c>
    </row>
    <row r="28" spans="1:8" ht="14.4">
      <c r="A28">
        <v>18</v>
      </c>
      <c r="B28" t="s">
        <v>281</v>
      </c>
      <c r="C28">
        <v>11</v>
      </c>
      <c r="D28" s="3" t="s">
        <v>244</v>
      </c>
      <c r="E28" t="s">
        <v>261</v>
      </c>
      <c r="F28">
        <v>1</v>
      </c>
      <c r="H28" t="str">
        <f t="shared" si="0"/>
        <v>校正予定表示</v>
      </c>
    </row>
    <row r="29" spans="1:8" ht="14.4">
      <c r="A29">
        <v>19</v>
      </c>
      <c r="B29" t="s">
        <v>282</v>
      </c>
      <c r="C29">
        <v>11</v>
      </c>
      <c r="D29" s="3" t="s">
        <v>245</v>
      </c>
      <c r="E29" t="s">
        <v>261</v>
      </c>
      <c r="F29">
        <v>1</v>
      </c>
      <c r="H29" t="str">
        <f t="shared" si="0"/>
        <v>各種リスト表示</v>
      </c>
    </row>
    <row r="30" spans="1:8" ht="14.4">
      <c r="A30">
        <v>20</v>
      </c>
      <c r="B30" t="s">
        <v>283</v>
      </c>
      <c r="C30">
        <v>11</v>
      </c>
      <c r="D30" s="3" t="s">
        <v>246</v>
      </c>
      <c r="E30" t="s">
        <v>261</v>
      </c>
      <c r="F30">
        <v>1</v>
      </c>
      <c r="H30" t="str">
        <f t="shared" si="0"/>
        <v>新規作成</v>
      </c>
    </row>
    <row r="31" spans="1:8" ht="14.4">
      <c r="A31">
        <v>21</v>
      </c>
      <c r="B31" t="s">
        <v>284</v>
      </c>
      <c r="C31">
        <v>11</v>
      </c>
      <c r="D31" s="3" t="s">
        <v>247</v>
      </c>
      <c r="E31" t="s">
        <v>261</v>
      </c>
      <c r="F31">
        <v>1</v>
      </c>
      <c r="H31" t="str">
        <f t="shared" si="0"/>
        <v>変更</v>
      </c>
    </row>
    <row r="32" spans="1:8" ht="14.4">
      <c r="A32">
        <v>22</v>
      </c>
      <c r="B32" t="s">
        <v>285</v>
      </c>
      <c r="C32">
        <v>11</v>
      </c>
      <c r="D32" s="3" t="s">
        <v>248</v>
      </c>
      <c r="E32" t="s">
        <v>261</v>
      </c>
      <c r="F32">
        <v>1</v>
      </c>
      <c r="H32" t="str">
        <f t="shared" si="0"/>
        <v>廃棄</v>
      </c>
    </row>
    <row r="33" spans="1:8" ht="14.4">
      <c r="A33">
        <v>23</v>
      </c>
      <c r="B33" t="s">
        <v>286</v>
      </c>
      <c r="C33">
        <v>11</v>
      </c>
      <c r="D33" s="3" t="s">
        <v>249</v>
      </c>
      <c r="E33" t="s">
        <v>261</v>
      </c>
      <c r="F33">
        <v>1</v>
      </c>
      <c r="H33" t="str">
        <f t="shared" si="0"/>
        <v>補助資料</v>
      </c>
    </row>
    <row r="34" spans="1:8" ht="14.4">
      <c r="A34">
        <v>24</v>
      </c>
      <c r="B34" t="s">
        <v>287</v>
      </c>
      <c r="C34">
        <v>11</v>
      </c>
      <c r="D34" s="3" t="s">
        <v>250</v>
      </c>
      <c r="E34" t="s">
        <v>261</v>
      </c>
      <c r="F34">
        <v>1</v>
      </c>
      <c r="H34" t="str">
        <f t="shared" si="0"/>
        <v>不合格報告書</v>
      </c>
    </row>
    <row r="35" spans="1:8" ht="14.4">
      <c r="A35">
        <v>25</v>
      </c>
      <c r="B35" t="s">
        <v>288</v>
      </c>
      <c r="C35">
        <v>11</v>
      </c>
      <c r="D35" s="3" t="s">
        <v>251</v>
      </c>
      <c r="E35" t="s">
        <v>261</v>
      </c>
      <c r="F35">
        <v>1</v>
      </c>
      <c r="H35" t="str">
        <f t="shared" si="0"/>
        <v>要注意報告書</v>
      </c>
    </row>
    <row r="36" spans="1:8" ht="14.4">
      <c r="A36">
        <v>26</v>
      </c>
      <c r="B36" t="s">
        <v>289</v>
      </c>
      <c r="C36">
        <v>11</v>
      </c>
      <c r="D36" s="3" t="s">
        <v>252</v>
      </c>
      <c r="E36" t="s">
        <v>261</v>
      </c>
      <c r="F36">
        <v>1</v>
      </c>
      <c r="H36" t="str">
        <f t="shared" si="0"/>
        <v>実施リスト</v>
      </c>
    </row>
    <row r="37" spans="1:8" ht="14.4">
      <c r="A37">
        <v>27</v>
      </c>
      <c r="B37" t="s">
        <v>290</v>
      </c>
      <c r="C37">
        <v>11</v>
      </c>
      <c r="D37" s="3" t="s">
        <v>253</v>
      </c>
      <c r="E37" t="s">
        <v>261</v>
      </c>
      <c r="F37">
        <v>1</v>
      </c>
      <c r="H37" t="str">
        <f t="shared" si="0"/>
        <v>マスター情報管理</v>
      </c>
    </row>
    <row r="38" spans="1:8" ht="14.4">
      <c r="A38">
        <v>28</v>
      </c>
      <c r="B38" t="s">
        <v>291</v>
      </c>
      <c r="C38">
        <v>11</v>
      </c>
      <c r="D38" s="3" t="s">
        <v>254</v>
      </c>
      <c r="E38" t="s">
        <v>261</v>
      </c>
      <c r="F38">
        <v>1</v>
      </c>
      <c r="H38" t="str">
        <f t="shared" si="0"/>
        <v>所番地1</v>
      </c>
    </row>
    <row r="39" spans="1:8" ht="14.4">
      <c r="A39">
        <v>29</v>
      </c>
      <c r="B39" t="s">
        <v>292</v>
      </c>
      <c r="C39">
        <v>11</v>
      </c>
      <c r="D39" s="3" t="s">
        <v>255</v>
      </c>
      <c r="E39" t="s">
        <v>261</v>
      </c>
      <c r="F39">
        <v>1</v>
      </c>
      <c r="H39" t="str">
        <f t="shared" si="0"/>
        <v>所番地2</v>
      </c>
    </row>
    <row r="40" spans="1:8" ht="14.4">
      <c r="A40">
        <v>30</v>
      </c>
      <c r="B40" t="s">
        <v>293</v>
      </c>
      <c r="C40">
        <v>11</v>
      </c>
      <c r="D40" s="3" t="s">
        <v>256</v>
      </c>
      <c r="E40" t="s">
        <v>261</v>
      </c>
      <c r="F40">
        <v>1</v>
      </c>
      <c r="H40" t="str">
        <f t="shared" si="0"/>
        <v>所番地3</v>
      </c>
    </row>
    <row r="41" spans="1:8" ht="14.4">
      <c r="A41">
        <v>31</v>
      </c>
      <c r="B41" t="s">
        <v>294</v>
      </c>
      <c r="C41">
        <v>11</v>
      </c>
      <c r="D41" s="3" t="s">
        <v>257</v>
      </c>
      <c r="E41" t="s">
        <v>261</v>
      </c>
      <c r="F41">
        <v>1</v>
      </c>
      <c r="H41" t="str">
        <f t="shared" si="0"/>
        <v>所番地4</v>
      </c>
    </row>
    <row r="42" spans="1:8" ht="14.4">
      <c r="A42">
        <v>32</v>
      </c>
      <c r="B42" t="s">
        <v>295</v>
      </c>
      <c r="C42">
        <v>11</v>
      </c>
      <c r="D42" s="3" t="s">
        <v>263</v>
      </c>
      <c r="E42" t="s">
        <v>261</v>
      </c>
      <c r="F42">
        <v>1</v>
      </c>
      <c r="H42" t="str">
        <f t="shared" si="0"/>
        <v>置き場1表示</v>
      </c>
    </row>
    <row r="43" spans="1:8" ht="14.4">
      <c r="A43">
        <v>33</v>
      </c>
      <c r="B43" t="s">
        <v>296</v>
      </c>
      <c r="C43">
        <v>11</v>
      </c>
      <c r="D43" s="3" t="s">
        <v>300</v>
      </c>
      <c r="E43" t="s">
        <v>261</v>
      </c>
      <c r="F43">
        <v>1</v>
      </c>
      <c r="H43" t="str">
        <f t="shared" si="0"/>
        <v>器物分類コード</v>
      </c>
    </row>
    <row r="44" spans="1:8" ht="14.4">
      <c r="A44">
        <v>34</v>
      </c>
      <c r="B44" t="s">
        <v>297</v>
      </c>
      <c r="C44">
        <v>11</v>
      </c>
      <c r="D44" s="3" t="s">
        <v>301</v>
      </c>
      <c r="E44" t="s">
        <v>76</v>
      </c>
      <c r="F44">
        <v>1</v>
      </c>
      <c r="H44" t="str">
        <f t="shared" si="0"/>
        <v>特別機能稲垣鉄工</v>
      </c>
    </row>
    <row r="45" spans="1:8" ht="14.4">
      <c r="A45">
        <v>35</v>
      </c>
      <c r="B45" t="s">
        <v>228</v>
      </c>
      <c r="C45">
        <v>11</v>
      </c>
      <c r="D45" s="3" t="s">
        <v>258</v>
      </c>
      <c r="E45" t="s">
        <v>76</v>
      </c>
      <c r="F45">
        <v>1</v>
      </c>
      <c r="H45" t="str">
        <f t="shared" si="0"/>
        <v>変更管理</v>
      </c>
    </row>
    <row r="46" spans="1:8" ht="14.4">
      <c r="A46">
        <v>36</v>
      </c>
      <c r="B46" t="s">
        <v>298</v>
      </c>
      <c r="C46">
        <v>11</v>
      </c>
      <c r="D46" s="3" t="s">
        <v>302</v>
      </c>
      <c r="E46" t="s">
        <v>76</v>
      </c>
      <c r="F46">
        <v>1</v>
      </c>
      <c r="H46" t="str">
        <f t="shared" si="0"/>
        <v>一覧登録リスト</v>
      </c>
    </row>
    <row r="47" spans="1:8" ht="14.4">
      <c r="A47">
        <v>37</v>
      </c>
      <c r="B47" t="s">
        <v>229</v>
      </c>
      <c r="C47">
        <v>11</v>
      </c>
      <c r="D47" s="3" t="s">
        <v>259</v>
      </c>
      <c r="E47" t="s">
        <v>76</v>
      </c>
      <c r="F47">
        <v>1</v>
      </c>
      <c r="H47" t="str">
        <f t="shared" si="0"/>
        <v>入荷情報</v>
      </c>
    </row>
  </sheetData>
  <phoneticPr fontId="1"/>
  <pageMargins left="0.75" right="0.75" top="1" bottom="1" header="0.51200000000000001" footer="0.51200000000000001"/>
  <pageSetup paperSize="9" orientation="portrait" horizontalDpi="4294967292" verticalDpi="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H15"/>
  <sheetViews>
    <sheetView workbookViewId="0"/>
  </sheetViews>
  <sheetFormatPr defaultRowHeight="13.2"/>
  <cols>
    <col min="1" max="1" width="13.109375" customWidth="1"/>
    <col min="2" max="2" width="38.21875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20</v>
      </c>
      <c r="C2" s="1" t="s">
        <v>33</v>
      </c>
      <c r="D2" s="1" t="s">
        <v>34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31</v>
      </c>
      <c r="C4" t="s">
        <v>21</v>
      </c>
    </row>
    <row r="5" spans="1:8">
      <c r="A5" t="s">
        <v>10</v>
      </c>
      <c r="B5" s="1" t="s">
        <v>29</v>
      </c>
      <c r="C5" t="s">
        <v>16</v>
      </c>
    </row>
    <row r="6" spans="1:8">
      <c r="A6" t="s">
        <v>11</v>
      </c>
      <c r="B6" s="1" t="s">
        <v>32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テーブル作成_tb_DOC_Master</v>
      </c>
      <c r="C7" t="s">
        <v>28</v>
      </c>
    </row>
    <row r="8" spans="1:8" ht="14.4">
      <c r="A8" t="s">
        <v>30</v>
      </c>
      <c r="B8" s="2" t="str">
        <f ca="1">LEFT(CELL("filename",A1),FIND("[",CELL("filename",A1))-1) &amp;
 MID(CELL("filename"),SEARCH("[",CELL("filename"))+1, SEARCH("]",CELL("filename"))-SEARCH("[",CELL("filename"))-1)</f>
        <v>H:\phphidaka\210412データ移行.xlsm</v>
      </c>
    </row>
    <row r="9" spans="1:8">
      <c r="B9" t="s">
        <v>18</v>
      </c>
      <c r="D9" t="s">
        <v>19</v>
      </c>
      <c r="E9" t="s">
        <v>22</v>
      </c>
      <c r="F9" t="s">
        <v>22</v>
      </c>
      <c r="G9" t="s">
        <v>22</v>
      </c>
      <c r="H9" t="s">
        <v>22</v>
      </c>
    </row>
    <row r="10" spans="1:8">
      <c r="A10" t="s">
        <v>23</v>
      </c>
      <c r="B10" t="s">
        <v>2</v>
      </c>
      <c r="C10" t="s">
        <v>12</v>
      </c>
      <c r="D10" t="s">
        <v>3</v>
      </c>
      <c r="E10" t="s">
        <v>4</v>
      </c>
      <c r="F10" t="s">
        <v>24</v>
      </c>
      <c r="G10" t="s">
        <v>25</v>
      </c>
      <c r="H10" t="s">
        <v>26</v>
      </c>
    </row>
    <row r="11" spans="1:8">
      <c r="A11">
        <v>1</v>
      </c>
      <c r="B11" t="s">
        <v>35</v>
      </c>
      <c r="C11">
        <v>202</v>
      </c>
      <c r="D11" t="s">
        <v>41</v>
      </c>
      <c r="E11" t="s">
        <v>40</v>
      </c>
      <c r="F11">
        <v>20</v>
      </c>
      <c r="H11" t="str">
        <f>B11</f>
        <v>CALID</v>
      </c>
    </row>
    <row r="12" spans="1:8">
      <c r="A12">
        <v>2</v>
      </c>
      <c r="B12" t="s">
        <v>36</v>
      </c>
      <c r="C12">
        <v>202</v>
      </c>
      <c r="D12" t="s">
        <v>43</v>
      </c>
      <c r="E12" t="s">
        <v>40</v>
      </c>
      <c r="F12">
        <v>50</v>
      </c>
      <c r="H12" t="str">
        <f>B12</f>
        <v>校正証明書名称</v>
      </c>
    </row>
    <row r="13" spans="1:8">
      <c r="A13">
        <v>3</v>
      </c>
      <c r="B13" t="s">
        <v>37</v>
      </c>
      <c r="C13">
        <v>7</v>
      </c>
      <c r="D13" t="s">
        <v>44</v>
      </c>
      <c r="E13" t="s">
        <v>45</v>
      </c>
      <c r="H13" t="str">
        <f>B13</f>
        <v>発行日</v>
      </c>
    </row>
    <row r="14" spans="1:8">
      <c r="A14">
        <v>4</v>
      </c>
      <c r="B14" t="s">
        <v>38</v>
      </c>
      <c r="C14">
        <v>202</v>
      </c>
      <c r="D14" t="s">
        <v>42</v>
      </c>
      <c r="E14" t="s">
        <v>40</v>
      </c>
      <c r="F14">
        <v>50</v>
      </c>
      <c r="H14" t="str">
        <f>B14</f>
        <v>備考</v>
      </c>
    </row>
    <row r="15" spans="1:8">
      <c r="A15">
        <v>5</v>
      </c>
      <c r="B15" t="s">
        <v>39</v>
      </c>
      <c r="C15">
        <v>202</v>
      </c>
      <c r="D15" t="s">
        <v>46</v>
      </c>
      <c r="E15" t="s">
        <v>40</v>
      </c>
      <c r="F15">
        <v>50</v>
      </c>
      <c r="H15" t="str">
        <f>B15</f>
        <v>ファイル名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/>
  <dimension ref="A1:H15"/>
  <sheetViews>
    <sheetView workbookViewId="0"/>
  </sheetViews>
  <sheetFormatPr defaultRowHeight="13.2"/>
  <cols>
    <col min="1" max="1" width="13.109375" customWidth="1"/>
    <col min="2" max="2" width="38.21875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 ht="14.4">
      <c r="A2" t="s">
        <v>305</v>
      </c>
      <c r="C2" s="3" t="s">
        <v>313</v>
      </c>
      <c r="D2" s="3" t="s">
        <v>314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/>
      <c r="C4" t="s">
        <v>306</v>
      </c>
    </row>
    <row r="5" spans="1:8">
      <c r="A5" t="s">
        <v>10</v>
      </c>
      <c r="B5" s="1"/>
      <c r="C5" t="s">
        <v>16</v>
      </c>
    </row>
    <row r="6" spans="1:8">
      <c r="A6" t="s">
        <v>11</v>
      </c>
      <c r="B6" s="1"/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テーブル作成_login_log</v>
      </c>
      <c r="C7" t="s">
        <v>28</v>
      </c>
    </row>
    <row r="8" spans="1:8" ht="14.4">
      <c r="A8" t="s">
        <v>30</v>
      </c>
      <c r="B8" s="2" t="str">
        <f ca="1">LEFT(CELL("filename",A1),FIND("[",CELL("filename",A1))-1) &amp;
 MID(CELL("filename"),SEARCH("[",CELL("filename"))+1, SEARCH("]",CELL("filename"))-SEARCH("[",CELL("filename"))-1)</f>
        <v>H:\phphidaka\210412データ移行.xlsm</v>
      </c>
    </row>
    <row r="9" spans="1:8">
      <c r="B9" t="s">
        <v>18</v>
      </c>
      <c r="D9" t="s">
        <v>19</v>
      </c>
      <c r="E9" t="s">
        <v>307</v>
      </c>
      <c r="F9" t="s">
        <v>307</v>
      </c>
      <c r="G9" t="s">
        <v>307</v>
      </c>
      <c r="H9" t="s">
        <v>307</v>
      </c>
    </row>
    <row r="10" spans="1:8">
      <c r="A10" t="s">
        <v>308</v>
      </c>
      <c r="B10" t="s">
        <v>2</v>
      </c>
      <c r="C10" t="s">
        <v>12</v>
      </c>
      <c r="D10" t="s">
        <v>3</v>
      </c>
      <c r="E10" t="s">
        <v>4</v>
      </c>
      <c r="F10" t="s">
        <v>309</v>
      </c>
      <c r="G10" t="s">
        <v>310</v>
      </c>
      <c r="H10" t="s">
        <v>311</v>
      </c>
    </row>
    <row r="11" spans="1:8" ht="14.4">
      <c r="A11">
        <v>1</v>
      </c>
      <c r="B11" t="s">
        <v>322</v>
      </c>
      <c r="C11">
        <v>202</v>
      </c>
      <c r="D11" s="3" t="s">
        <v>315</v>
      </c>
      <c r="E11" t="s">
        <v>312</v>
      </c>
      <c r="F11">
        <v>20</v>
      </c>
      <c r="G11" t="s">
        <v>321</v>
      </c>
      <c r="H11" t="str">
        <f>B11</f>
        <v>login_ID</v>
      </c>
    </row>
    <row r="12" spans="1:8" ht="14.4">
      <c r="A12">
        <v>2</v>
      </c>
      <c r="B12" t="s">
        <v>323</v>
      </c>
      <c r="C12">
        <v>202</v>
      </c>
      <c r="D12" s="3" t="s">
        <v>316</v>
      </c>
      <c r="E12" t="s">
        <v>320</v>
      </c>
      <c r="H12" t="str">
        <f>B12</f>
        <v>ログイン時間</v>
      </c>
    </row>
    <row r="13" spans="1:8" ht="14.4">
      <c r="A13">
        <v>3</v>
      </c>
      <c r="B13" t="s">
        <v>324</v>
      </c>
      <c r="C13">
        <v>7</v>
      </c>
      <c r="D13" s="3" t="s">
        <v>317</v>
      </c>
      <c r="E13" t="s">
        <v>312</v>
      </c>
      <c r="F13">
        <v>50</v>
      </c>
      <c r="H13" t="str">
        <f>B13</f>
        <v>ログイン状況</v>
      </c>
    </row>
    <row r="14" spans="1:8" ht="14.4">
      <c r="A14">
        <v>4</v>
      </c>
      <c r="B14" t="s">
        <v>325</v>
      </c>
      <c r="C14">
        <v>202</v>
      </c>
      <c r="D14" s="3" t="s">
        <v>318</v>
      </c>
      <c r="E14" t="s">
        <v>312</v>
      </c>
      <c r="F14">
        <v>50</v>
      </c>
      <c r="H14" t="str">
        <f>B14</f>
        <v>ログイン名</v>
      </c>
    </row>
    <row r="15" spans="1:8" ht="14.4">
      <c r="A15">
        <v>5</v>
      </c>
      <c r="B15" t="s">
        <v>326</v>
      </c>
      <c r="C15">
        <v>202</v>
      </c>
      <c r="D15" s="3" t="s">
        <v>319</v>
      </c>
      <c r="E15" t="s">
        <v>312</v>
      </c>
      <c r="F15">
        <v>50</v>
      </c>
      <c r="H15" t="str">
        <f>B15</f>
        <v>備考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/>
  <dimension ref="A1:H17"/>
  <sheetViews>
    <sheetView workbookViewId="0"/>
  </sheetViews>
  <sheetFormatPr defaultRowHeight="13.2"/>
  <cols>
    <col min="1" max="1" width="13.109375" customWidth="1"/>
    <col min="2" max="2" width="40.6640625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58</v>
      </c>
      <c r="C2" s="1" t="s">
        <v>59</v>
      </c>
      <c r="D2" s="1" t="s">
        <v>60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327</v>
      </c>
      <c r="C4" t="s">
        <v>62</v>
      </c>
    </row>
    <row r="5" spans="1:8">
      <c r="A5" t="s">
        <v>10</v>
      </c>
      <c r="B5" s="1" t="s">
        <v>63</v>
      </c>
      <c r="C5" t="s">
        <v>16</v>
      </c>
    </row>
    <row r="6" spans="1:8">
      <c r="A6" t="s">
        <v>11</v>
      </c>
      <c r="B6" s="1" t="s">
        <v>49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テーブル作成_tb_info</v>
      </c>
      <c r="C7" t="s">
        <v>28</v>
      </c>
    </row>
    <row r="8" spans="1:8" ht="14.4">
      <c r="A8" t="s">
        <v>30</v>
      </c>
      <c r="B8" s="2" t="str">
        <f ca="1">LEFT(CELL("filename",A1),FIND("[",CELL("filename",A1))-1) &amp;
 MID(CELL("filename"),SEARCH("[",CELL("filename"))+1, SEARCH("]",CELL("filename"))-SEARCH("[",CELL("filename"))-1)</f>
        <v>H:\phphidaka\210412データ移行.xlsm</v>
      </c>
    </row>
    <row r="9" spans="1:8">
      <c r="B9" t="s">
        <v>18</v>
      </c>
      <c r="D9" t="s">
        <v>19</v>
      </c>
      <c r="E9" t="s">
        <v>64</v>
      </c>
      <c r="F9" t="s">
        <v>64</v>
      </c>
      <c r="G9" t="s">
        <v>64</v>
      </c>
      <c r="H9" t="s">
        <v>64</v>
      </c>
    </row>
    <row r="10" spans="1:8">
      <c r="A10" t="s">
        <v>65</v>
      </c>
      <c r="B10" t="s">
        <v>2</v>
      </c>
      <c r="C10" t="s">
        <v>12</v>
      </c>
      <c r="D10" t="s">
        <v>3</v>
      </c>
      <c r="E10" t="s">
        <v>4</v>
      </c>
      <c r="F10" t="s">
        <v>66</v>
      </c>
      <c r="G10" t="s">
        <v>67</v>
      </c>
      <c r="H10" t="s">
        <v>68</v>
      </c>
    </row>
    <row r="11" spans="1:8">
      <c r="A11">
        <v>1</v>
      </c>
      <c r="B11" t="s">
        <v>50</v>
      </c>
      <c r="C11">
        <v>3</v>
      </c>
      <c r="D11" t="s">
        <v>69</v>
      </c>
      <c r="E11" t="s">
        <v>70</v>
      </c>
      <c r="F11">
        <v>2</v>
      </c>
      <c r="H11" t="str">
        <f t="shared" ref="H11:H17" si="0">B11</f>
        <v>No</v>
      </c>
    </row>
    <row r="12" spans="1:8">
      <c r="A12">
        <v>2</v>
      </c>
      <c r="B12" t="s">
        <v>51</v>
      </c>
      <c r="C12">
        <v>202</v>
      </c>
      <c r="D12" t="s">
        <v>52</v>
      </c>
      <c r="E12" t="s">
        <v>71</v>
      </c>
      <c r="F12">
        <v>20</v>
      </c>
      <c r="H12" t="str">
        <f t="shared" si="0"/>
        <v>内容分類</v>
      </c>
    </row>
    <row r="13" spans="1:8">
      <c r="A13">
        <v>3</v>
      </c>
      <c r="B13" t="s">
        <v>53</v>
      </c>
      <c r="C13">
        <v>7</v>
      </c>
      <c r="D13" t="s">
        <v>72</v>
      </c>
      <c r="E13" t="s">
        <v>73</v>
      </c>
      <c r="H13" t="str">
        <f t="shared" si="0"/>
        <v>日付</v>
      </c>
    </row>
    <row r="14" spans="1:8">
      <c r="A14">
        <v>4</v>
      </c>
      <c r="B14" t="s">
        <v>54</v>
      </c>
      <c r="C14">
        <v>202</v>
      </c>
      <c r="D14" t="s">
        <v>74</v>
      </c>
      <c r="E14" t="s">
        <v>71</v>
      </c>
      <c r="F14">
        <v>50</v>
      </c>
      <c r="H14" t="str">
        <f t="shared" si="0"/>
        <v>内容</v>
      </c>
    </row>
    <row r="15" spans="1:8">
      <c r="A15">
        <v>5</v>
      </c>
      <c r="B15" t="s">
        <v>55</v>
      </c>
      <c r="C15">
        <v>11</v>
      </c>
      <c r="D15" t="s">
        <v>75</v>
      </c>
      <c r="E15" t="s">
        <v>76</v>
      </c>
      <c r="H15" t="str">
        <f t="shared" si="0"/>
        <v>掲示の有無</v>
      </c>
    </row>
    <row r="16" spans="1:8">
      <c r="A16">
        <v>6</v>
      </c>
      <c r="B16" t="s">
        <v>56</v>
      </c>
      <c r="C16">
        <v>11</v>
      </c>
      <c r="D16" t="s">
        <v>77</v>
      </c>
      <c r="E16" t="s">
        <v>76</v>
      </c>
      <c r="H16" t="str">
        <f t="shared" si="0"/>
        <v>マークの有無</v>
      </c>
    </row>
    <row r="17" spans="1:8">
      <c r="A17">
        <v>7</v>
      </c>
      <c r="B17" t="s">
        <v>57</v>
      </c>
      <c r="C17">
        <v>11</v>
      </c>
      <c r="D17" t="s">
        <v>78</v>
      </c>
      <c r="E17" t="s">
        <v>76</v>
      </c>
      <c r="H17" t="str">
        <f t="shared" si="0"/>
        <v>admin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4"/>
  <dimension ref="A1:H25"/>
  <sheetViews>
    <sheetView workbookViewId="0">
      <selection activeCell="A7" sqref="A7:C7"/>
    </sheetView>
  </sheetViews>
  <sheetFormatPr defaultRowHeight="13.2"/>
  <cols>
    <col min="1" max="1" width="13.109375" customWidth="1"/>
    <col min="2" max="2" width="25.77734375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58</v>
      </c>
      <c r="C2" s="1" t="s">
        <v>303</v>
      </c>
      <c r="D2" s="1" t="s">
        <v>304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61</v>
      </c>
      <c r="C4" t="s">
        <v>62</v>
      </c>
    </row>
    <row r="5" spans="1:8">
      <c r="A5" t="s">
        <v>10</v>
      </c>
      <c r="B5" s="1" t="s">
        <v>94</v>
      </c>
      <c r="C5" t="s">
        <v>16</v>
      </c>
    </row>
    <row r="6" spans="1:8">
      <c r="A6" t="s">
        <v>11</v>
      </c>
      <c r="B6" s="1" t="s">
        <v>79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テーブル作成_tb_master</v>
      </c>
      <c r="C7" t="s">
        <v>28</v>
      </c>
    </row>
    <row r="9" spans="1:8">
      <c r="B9" t="s">
        <v>18</v>
      </c>
      <c r="D9" t="s">
        <v>19</v>
      </c>
      <c r="E9" t="s">
        <v>95</v>
      </c>
      <c r="F9" t="s">
        <v>95</v>
      </c>
      <c r="G9" t="s">
        <v>95</v>
      </c>
      <c r="H9" t="s">
        <v>95</v>
      </c>
    </row>
    <row r="10" spans="1:8">
      <c r="A10" t="s">
        <v>96</v>
      </c>
      <c r="B10" t="s">
        <v>2</v>
      </c>
      <c r="C10" t="s">
        <v>12</v>
      </c>
      <c r="D10" t="s">
        <v>3</v>
      </c>
      <c r="E10" t="s">
        <v>4</v>
      </c>
      <c r="F10" t="s">
        <v>97</v>
      </c>
      <c r="G10" t="s">
        <v>98</v>
      </c>
      <c r="H10" t="s">
        <v>99</v>
      </c>
    </row>
    <row r="11" spans="1:8">
      <c r="A11">
        <v>1</v>
      </c>
      <c r="B11" t="s">
        <v>80</v>
      </c>
      <c r="C11">
        <v>202</v>
      </c>
      <c r="D11" t="s">
        <v>100</v>
      </c>
      <c r="E11" t="s">
        <v>101</v>
      </c>
      <c r="F11">
        <v>20</v>
      </c>
      <c r="H11" t="str">
        <f t="shared" ref="H11:H25" si="0">B11</f>
        <v>uid</v>
      </c>
    </row>
    <row r="12" spans="1:8">
      <c r="A12">
        <v>2</v>
      </c>
      <c r="B12" t="s">
        <v>81</v>
      </c>
      <c r="C12">
        <v>202</v>
      </c>
      <c r="D12" t="s">
        <v>102</v>
      </c>
      <c r="E12" t="s">
        <v>101</v>
      </c>
      <c r="F12">
        <v>20</v>
      </c>
      <c r="H12" t="str">
        <f t="shared" si="0"/>
        <v>passwd</v>
      </c>
    </row>
    <row r="13" spans="1:8">
      <c r="A13">
        <v>3</v>
      </c>
      <c r="B13" t="s">
        <v>82</v>
      </c>
      <c r="C13">
        <v>202</v>
      </c>
      <c r="D13" t="s">
        <v>103</v>
      </c>
      <c r="E13" t="s">
        <v>101</v>
      </c>
      <c r="F13">
        <v>20</v>
      </c>
      <c r="H13" t="str">
        <f t="shared" si="0"/>
        <v>unam</v>
      </c>
    </row>
    <row r="14" spans="1:8">
      <c r="A14">
        <v>4</v>
      </c>
      <c r="B14" t="s">
        <v>83</v>
      </c>
      <c r="C14">
        <v>202</v>
      </c>
      <c r="D14" t="s">
        <v>104</v>
      </c>
      <c r="E14" t="s">
        <v>101</v>
      </c>
      <c r="F14">
        <v>50</v>
      </c>
      <c r="H14" t="str">
        <f t="shared" si="0"/>
        <v>bmn</v>
      </c>
    </row>
    <row r="15" spans="1:8">
      <c r="A15">
        <v>5</v>
      </c>
      <c r="B15" t="s">
        <v>84</v>
      </c>
      <c r="C15">
        <v>11</v>
      </c>
      <c r="D15" t="s">
        <v>105</v>
      </c>
      <c r="E15" t="s">
        <v>106</v>
      </c>
      <c r="H15" t="str">
        <f t="shared" si="0"/>
        <v>menu1</v>
      </c>
    </row>
    <row r="16" spans="1:8">
      <c r="A16">
        <v>6</v>
      </c>
      <c r="B16" t="s">
        <v>85</v>
      </c>
      <c r="C16">
        <v>11</v>
      </c>
      <c r="D16" t="s">
        <v>107</v>
      </c>
      <c r="E16" t="s">
        <v>106</v>
      </c>
      <c r="H16" t="str">
        <f t="shared" si="0"/>
        <v>menu2</v>
      </c>
    </row>
    <row r="17" spans="1:8">
      <c r="A17">
        <v>7</v>
      </c>
      <c r="B17" t="s">
        <v>86</v>
      </c>
      <c r="C17">
        <v>11</v>
      </c>
      <c r="D17" t="s">
        <v>108</v>
      </c>
      <c r="E17" t="s">
        <v>106</v>
      </c>
      <c r="H17" t="str">
        <f t="shared" si="0"/>
        <v>menu8</v>
      </c>
    </row>
    <row r="18" spans="1:8">
      <c r="A18">
        <v>8</v>
      </c>
      <c r="B18" t="s">
        <v>87</v>
      </c>
      <c r="C18">
        <v>11</v>
      </c>
      <c r="D18" t="s">
        <v>109</v>
      </c>
      <c r="E18" t="s">
        <v>106</v>
      </c>
      <c r="H18" t="str">
        <f t="shared" si="0"/>
        <v>menu3</v>
      </c>
    </row>
    <row r="19" spans="1:8">
      <c r="A19">
        <v>9</v>
      </c>
      <c r="B19" t="s">
        <v>88</v>
      </c>
      <c r="C19">
        <v>11</v>
      </c>
      <c r="D19" t="s">
        <v>110</v>
      </c>
      <c r="E19" t="s">
        <v>106</v>
      </c>
      <c r="H19" t="str">
        <f t="shared" si="0"/>
        <v>menu4</v>
      </c>
    </row>
    <row r="20" spans="1:8">
      <c r="A20">
        <v>10</v>
      </c>
      <c r="B20" t="s">
        <v>89</v>
      </c>
      <c r="C20">
        <v>11</v>
      </c>
      <c r="D20" t="s">
        <v>111</v>
      </c>
      <c r="E20" t="s">
        <v>106</v>
      </c>
      <c r="H20" t="str">
        <f t="shared" si="0"/>
        <v>menu5</v>
      </c>
    </row>
    <row r="21" spans="1:8">
      <c r="A21">
        <v>11</v>
      </c>
      <c r="B21" t="s">
        <v>90</v>
      </c>
      <c r="C21">
        <v>11</v>
      </c>
      <c r="D21" t="s">
        <v>112</v>
      </c>
      <c r="E21" t="s">
        <v>106</v>
      </c>
      <c r="H21" t="str">
        <f t="shared" si="0"/>
        <v>menu6</v>
      </c>
    </row>
    <row r="22" spans="1:8">
      <c r="A22">
        <v>12</v>
      </c>
      <c r="B22" t="s">
        <v>91</v>
      </c>
      <c r="C22">
        <v>11</v>
      </c>
      <c r="D22" t="s">
        <v>113</v>
      </c>
      <c r="E22" t="s">
        <v>106</v>
      </c>
      <c r="H22" t="str">
        <f t="shared" si="0"/>
        <v>menu7</v>
      </c>
    </row>
    <row r="23" spans="1:8">
      <c r="A23">
        <v>13</v>
      </c>
      <c r="B23" t="s">
        <v>57</v>
      </c>
      <c r="C23">
        <v>11</v>
      </c>
      <c r="D23" t="s">
        <v>114</v>
      </c>
      <c r="E23" t="s">
        <v>106</v>
      </c>
      <c r="H23" t="str">
        <f t="shared" si="0"/>
        <v>admin</v>
      </c>
    </row>
    <row r="24" spans="1:8">
      <c r="A24">
        <v>14</v>
      </c>
      <c r="B24" t="s">
        <v>92</v>
      </c>
      <c r="C24">
        <v>11</v>
      </c>
      <c r="D24" t="s">
        <v>115</v>
      </c>
      <c r="E24" t="s">
        <v>106</v>
      </c>
      <c r="H24" t="str">
        <f t="shared" si="0"/>
        <v>変更</v>
      </c>
    </row>
    <row r="25" spans="1:8">
      <c r="A25">
        <v>15</v>
      </c>
      <c r="B25" t="s">
        <v>93</v>
      </c>
      <c r="C25">
        <v>11</v>
      </c>
      <c r="D25" t="s">
        <v>116</v>
      </c>
      <c r="E25" t="s">
        <v>106</v>
      </c>
      <c r="H25" t="str">
        <f t="shared" si="0"/>
        <v>menu9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H15"/>
  <sheetViews>
    <sheetView workbookViewId="0">
      <selection activeCell="D11" sqref="D11"/>
    </sheetView>
  </sheetViews>
  <sheetFormatPr defaultRowHeight="13.2"/>
  <cols>
    <col min="2" max="2" width="20.109375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58</v>
      </c>
      <c r="C2" s="1" t="s">
        <v>120</v>
      </c>
      <c r="D2" s="1" t="s">
        <v>490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121</v>
      </c>
      <c r="C4" t="s">
        <v>62</v>
      </c>
    </row>
    <row r="5" spans="1:8">
      <c r="A5" t="s">
        <v>10</v>
      </c>
      <c r="B5" s="1" t="s">
        <v>122</v>
      </c>
      <c r="C5" t="s">
        <v>16</v>
      </c>
    </row>
    <row r="6" spans="1:8">
      <c r="A6" t="s">
        <v>11</v>
      </c>
      <c r="B6" s="1" t="s">
        <v>123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テーブル作成_tb_C_kibutsu_old</v>
      </c>
      <c r="C7" t="s">
        <v>28</v>
      </c>
    </row>
    <row r="9" spans="1:8">
      <c r="B9" t="s">
        <v>18</v>
      </c>
      <c r="D9" t="s">
        <v>19</v>
      </c>
      <c r="E9" t="s">
        <v>124</v>
      </c>
      <c r="F9" t="s">
        <v>124</v>
      </c>
      <c r="G9" t="s">
        <v>124</v>
      </c>
      <c r="H9" t="s">
        <v>124</v>
      </c>
    </row>
    <row r="10" spans="1:8">
      <c r="A10" t="s">
        <v>125</v>
      </c>
      <c r="B10" t="s">
        <v>2</v>
      </c>
      <c r="C10" t="s">
        <v>12</v>
      </c>
      <c r="D10" t="s">
        <v>3</v>
      </c>
      <c r="E10" t="s">
        <v>4</v>
      </c>
      <c r="F10" t="s">
        <v>126</v>
      </c>
      <c r="G10" t="s">
        <v>127</v>
      </c>
      <c r="H10" t="s">
        <v>128</v>
      </c>
    </row>
    <row r="11" spans="1:8">
      <c r="A11">
        <v>1</v>
      </c>
      <c r="B11" t="s">
        <v>491</v>
      </c>
      <c r="C11">
        <v>202</v>
      </c>
      <c r="D11" t="s">
        <v>118</v>
      </c>
      <c r="E11" t="s">
        <v>129</v>
      </c>
      <c r="F11">
        <v>2</v>
      </c>
      <c r="H11" t="str">
        <f>B11</f>
        <v>器物分類コード</v>
      </c>
    </row>
    <row r="12" spans="1:8">
      <c r="A12">
        <v>2</v>
      </c>
      <c r="B12" t="s">
        <v>492</v>
      </c>
      <c r="C12">
        <v>202</v>
      </c>
      <c r="D12" t="s">
        <v>130</v>
      </c>
      <c r="E12" t="s">
        <v>131</v>
      </c>
      <c r="F12">
        <v>20</v>
      </c>
      <c r="H12" t="str">
        <f>B12</f>
        <v>器物分類名</v>
      </c>
    </row>
    <row r="13" spans="1:8">
      <c r="A13">
        <v>3</v>
      </c>
      <c r="B13" t="s">
        <v>493</v>
      </c>
      <c r="C13">
        <v>202</v>
      </c>
      <c r="D13" t="s">
        <v>132</v>
      </c>
      <c r="E13" t="s">
        <v>129</v>
      </c>
      <c r="F13">
        <v>2</v>
      </c>
      <c r="H13" t="str">
        <f>B13</f>
        <v>器物大分類コード</v>
      </c>
    </row>
    <row r="14" spans="1:8">
      <c r="A14">
        <v>4</v>
      </c>
      <c r="B14" t="s">
        <v>494</v>
      </c>
      <c r="C14">
        <v>202</v>
      </c>
      <c r="D14" t="s">
        <v>494</v>
      </c>
      <c r="E14" t="s">
        <v>40</v>
      </c>
      <c r="F14">
        <v>20</v>
      </c>
      <c r="H14" t="str">
        <f>B14</f>
        <v>old</v>
      </c>
    </row>
    <row r="15" spans="1:8">
      <c r="A15">
        <v>5</v>
      </c>
      <c r="B15" t="s">
        <v>495</v>
      </c>
      <c r="C15">
        <v>3</v>
      </c>
      <c r="D15" t="s">
        <v>495</v>
      </c>
      <c r="E15" t="s">
        <v>40</v>
      </c>
      <c r="F15">
        <v>20</v>
      </c>
      <c r="H15" t="str">
        <f>B15</f>
        <v>hid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7"/>
  <dimension ref="A1:H17"/>
  <sheetViews>
    <sheetView workbookViewId="0">
      <selection activeCell="E15" sqref="E15:H17"/>
    </sheetView>
  </sheetViews>
  <sheetFormatPr defaultRowHeight="13.2"/>
  <cols>
    <col min="2" max="2" width="20.109375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496</v>
      </c>
      <c r="C2" s="1" t="s">
        <v>497</v>
      </c>
      <c r="D2" s="1" t="s">
        <v>498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509</v>
      </c>
      <c r="C4" t="s">
        <v>499</v>
      </c>
    </row>
    <row r="5" spans="1:8">
      <c r="A5" t="s">
        <v>10</v>
      </c>
      <c r="B5" s="1" t="s">
        <v>510</v>
      </c>
      <c r="C5" t="s">
        <v>16</v>
      </c>
    </row>
    <row r="6" spans="1:8">
      <c r="A6" t="s">
        <v>11</v>
      </c>
      <c r="B6" s="1" t="s">
        <v>511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テーブル作成_tb_C_kibutsu</v>
      </c>
      <c r="C7" t="s">
        <v>28</v>
      </c>
    </row>
    <row r="9" spans="1:8">
      <c r="B9" t="s">
        <v>18</v>
      </c>
      <c r="D9" t="s">
        <v>19</v>
      </c>
      <c r="E9" t="s">
        <v>500</v>
      </c>
      <c r="F9" t="s">
        <v>500</v>
      </c>
      <c r="G9" t="s">
        <v>500</v>
      </c>
      <c r="H9" t="s">
        <v>500</v>
      </c>
    </row>
    <row r="10" spans="1:8">
      <c r="A10" t="s">
        <v>501</v>
      </c>
      <c r="B10" t="s">
        <v>2</v>
      </c>
      <c r="C10" t="s">
        <v>12</v>
      </c>
      <c r="D10" t="s">
        <v>3</v>
      </c>
      <c r="E10" t="s">
        <v>4</v>
      </c>
      <c r="F10" t="s">
        <v>502</v>
      </c>
      <c r="G10" t="s">
        <v>503</v>
      </c>
      <c r="H10" t="s">
        <v>504</v>
      </c>
    </row>
    <row r="11" spans="1:8">
      <c r="A11">
        <v>1</v>
      </c>
      <c r="B11" t="s">
        <v>491</v>
      </c>
      <c r="C11">
        <v>202</v>
      </c>
      <c r="D11" t="s">
        <v>118</v>
      </c>
      <c r="E11" t="s">
        <v>505</v>
      </c>
      <c r="F11">
        <v>2</v>
      </c>
      <c r="H11" t="str">
        <f t="shared" ref="H11:H17" si="0">B11</f>
        <v>器物分類コード</v>
      </c>
    </row>
    <row r="12" spans="1:8">
      <c r="A12">
        <v>2</v>
      </c>
      <c r="B12" t="s">
        <v>492</v>
      </c>
      <c r="C12">
        <v>202</v>
      </c>
      <c r="D12" t="s">
        <v>506</v>
      </c>
      <c r="E12" t="s">
        <v>507</v>
      </c>
      <c r="F12">
        <v>20</v>
      </c>
      <c r="H12" t="str">
        <f t="shared" si="0"/>
        <v>器物分類名</v>
      </c>
    </row>
    <row r="13" spans="1:8">
      <c r="A13">
        <v>3</v>
      </c>
      <c r="B13" t="s">
        <v>493</v>
      </c>
      <c r="C13">
        <v>202</v>
      </c>
      <c r="D13" t="s">
        <v>508</v>
      </c>
      <c r="E13" t="s">
        <v>505</v>
      </c>
      <c r="F13">
        <v>2</v>
      </c>
      <c r="H13" t="str">
        <f t="shared" si="0"/>
        <v>器物大分類コード</v>
      </c>
    </row>
    <row r="14" spans="1:8">
      <c r="A14">
        <v>4</v>
      </c>
      <c r="B14" t="s">
        <v>512</v>
      </c>
      <c r="C14">
        <v>202</v>
      </c>
      <c r="D14" t="s">
        <v>515</v>
      </c>
      <c r="E14" t="s">
        <v>507</v>
      </c>
      <c r="F14">
        <v>20</v>
      </c>
      <c r="H14" t="str">
        <f t="shared" si="0"/>
        <v>記号</v>
      </c>
    </row>
    <row r="15" spans="1:8">
      <c r="A15">
        <v>5</v>
      </c>
      <c r="B15" t="s">
        <v>513</v>
      </c>
      <c r="C15">
        <v>3</v>
      </c>
      <c r="D15" t="s">
        <v>517</v>
      </c>
      <c r="E15" t="s">
        <v>507</v>
      </c>
      <c r="F15">
        <v>20</v>
      </c>
      <c r="H15" t="str">
        <f t="shared" si="0"/>
        <v>hid</v>
      </c>
    </row>
    <row r="16" spans="1:8">
      <c r="A16">
        <v>6</v>
      </c>
      <c r="B16" t="s">
        <v>514</v>
      </c>
      <c r="C16">
        <v>11</v>
      </c>
      <c r="D16" t="s">
        <v>516</v>
      </c>
      <c r="E16" t="s">
        <v>505</v>
      </c>
      <c r="F16">
        <v>2</v>
      </c>
      <c r="H16" t="str">
        <f t="shared" si="0"/>
        <v>使用状態</v>
      </c>
    </row>
    <row r="17" spans="1:8">
      <c r="A17">
        <v>7</v>
      </c>
      <c r="B17" t="s">
        <v>38</v>
      </c>
      <c r="C17">
        <v>202</v>
      </c>
      <c r="D17" t="s">
        <v>518</v>
      </c>
      <c r="E17" t="s">
        <v>507</v>
      </c>
      <c r="F17">
        <v>20</v>
      </c>
      <c r="H17" t="str">
        <f t="shared" si="0"/>
        <v>備考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H15"/>
  <sheetViews>
    <sheetView workbookViewId="0">
      <selection activeCell="D23" sqref="D23"/>
    </sheetView>
  </sheetViews>
  <sheetFormatPr defaultRowHeight="13.2"/>
  <cols>
    <col min="2" max="2" width="20.109375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519</v>
      </c>
      <c r="C2" s="1" t="s">
        <v>531</v>
      </c>
      <c r="D2" s="1" t="s">
        <v>532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520</v>
      </c>
      <c r="C4" t="s">
        <v>521</v>
      </c>
    </row>
    <row r="5" spans="1:8">
      <c r="A5" t="s">
        <v>10</v>
      </c>
      <c r="B5" s="1" t="s">
        <v>522</v>
      </c>
      <c r="C5" t="s">
        <v>16</v>
      </c>
    </row>
    <row r="6" spans="1:8">
      <c r="A6" t="s">
        <v>11</v>
      </c>
      <c r="B6" s="1" t="s">
        <v>530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テーブル作成_tb_C_SEC1</v>
      </c>
      <c r="C7" t="s">
        <v>28</v>
      </c>
    </row>
    <row r="9" spans="1:8">
      <c r="B9" t="s">
        <v>18</v>
      </c>
      <c r="D9" t="s">
        <v>19</v>
      </c>
      <c r="E9" t="s">
        <v>523</v>
      </c>
      <c r="F9" t="s">
        <v>523</v>
      </c>
      <c r="G9" t="s">
        <v>523</v>
      </c>
      <c r="H9" t="s">
        <v>523</v>
      </c>
    </row>
    <row r="10" spans="1:8">
      <c r="A10" t="s">
        <v>524</v>
      </c>
      <c r="B10" t="s">
        <v>2</v>
      </c>
      <c r="C10" t="s">
        <v>12</v>
      </c>
      <c r="D10" t="s">
        <v>3</v>
      </c>
      <c r="E10" t="s">
        <v>4</v>
      </c>
      <c r="F10" t="s">
        <v>525</v>
      </c>
      <c r="G10" t="s">
        <v>526</v>
      </c>
      <c r="H10" t="s">
        <v>527</v>
      </c>
    </row>
    <row r="11" spans="1:8">
      <c r="A11">
        <v>1</v>
      </c>
      <c r="B11" t="s">
        <v>533</v>
      </c>
      <c r="C11">
        <v>202</v>
      </c>
      <c r="D11" t="s">
        <v>536</v>
      </c>
      <c r="E11" t="s">
        <v>528</v>
      </c>
      <c r="F11">
        <v>2</v>
      </c>
      <c r="H11" t="str">
        <f>B11</f>
        <v>所番地分類1</v>
      </c>
    </row>
    <row r="12" spans="1:8">
      <c r="A12">
        <v>2</v>
      </c>
      <c r="B12" t="s">
        <v>534</v>
      </c>
      <c r="C12">
        <v>202</v>
      </c>
      <c r="D12" t="s">
        <v>537</v>
      </c>
      <c r="E12" t="s">
        <v>529</v>
      </c>
      <c r="F12">
        <v>20</v>
      </c>
      <c r="H12" t="str">
        <f>B12</f>
        <v>所番地1</v>
      </c>
    </row>
    <row r="13" spans="1:8">
      <c r="A13">
        <v>3</v>
      </c>
      <c r="B13" t="s">
        <v>495</v>
      </c>
      <c r="C13">
        <v>3</v>
      </c>
      <c r="D13" t="s">
        <v>538</v>
      </c>
      <c r="E13" t="s">
        <v>40</v>
      </c>
      <c r="F13">
        <v>20</v>
      </c>
      <c r="H13" t="str">
        <f>B13</f>
        <v>hid</v>
      </c>
    </row>
    <row r="14" spans="1:8">
      <c r="A14">
        <v>4</v>
      </c>
      <c r="B14" t="s">
        <v>514</v>
      </c>
      <c r="C14">
        <v>11</v>
      </c>
      <c r="D14" t="s">
        <v>539</v>
      </c>
      <c r="E14" t="s">
        <v>70</v>
      </c>
      <c r="F14">
        <v>2</v>
      </c>
      <c r="H14" t="str">
        <f>B14</f>
        <v>使用状態</v>
      </c>
    </row>
    <row r="15" spans="1:8">
      <c r="A15">
        <v>5</v>
      </c>
      <c r="B15" t="s">
        <v>38</v>
      </c>
      <c r="C15">
        <v>202</v>
      </c>
      <c r="D15" t="s">
        <v>535</v>
      </c>
      <c r="E15" t="s">
        <v>40</v>
      </c>
      <c r="F15">
        <v>20</v>
      </c>
      <c r="H15" t="str">
        <f>B15</f>
        <v>備考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9"/>
  <dimension ref="A1:H16"/>
  <sheetViews>
    <sheetView workbookViewId="0">
      <selection activeCell="E11" sqref="E11"/>
    </sheetView>
  </sheetViews>
  <sheetFormatPr defaultRowHeight="13.2"/>
  <cols>
    <col min="2" max="2" width="39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540</v>
      </c>
      <c r="C2" s="1" t="s">
        <v>550</v>
      </c>
      <c r="D2" s="1" t="s">
        <v>551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552</v>
      </c>
      <c r="C4" t="s">
        <v>541</v>
      </c>
    </row>
    <row r="5" spans="1:8">
      <c r="A5" t="s">
        <v>10</v>
      </c>
      <c r="B5" s="1" t="s">
        <v>542</v>
      </c>
      <c r="C5" t="s">
        <v>16</v>
      </c>
    </row>
    <row r="6" spans="1:8">
      <c r="A6" t="s">
        <v>11</v>
      </c>
      <c r="B6" s="1" t="s">
        <v>553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テーブル作成_tb_C_SEC2</v>
      </c>
      <c r="C7" t="s">
        <v>28</v>
      </c>
    </row>
    <row r="9" spans="1:8">
      <c r="B9" t="s">
        <v>18</v>
      </c>
      <c r="D9" t="s">
        <v>19</v>
      </c>
      <c r="E9" t="s">
        <v>543</v>
      </c>
      <c r="F9" t="s">
        <v>543</v>
      </c>
      <c r="G9" t="s">
        <v>543</v>
      </c>
      <c r="H9" t="s">
        <v>543</v>
      </c>
    </row>
    <row r="10" spans="1:8">
      <c r="A10" t="s">
        <v>544</v>
      </c>
      <c r="B10" t="s">
        <v>2</v>
      </c>
      <c r="C10" t="s">
        <v>12</v>
      </c>
      <c r="D10" t="s">
        <v>3</v>
      </c>
      <c r="E10" t="s">
        <v>4</v>
      </c>
      <c r="F10" t="s">
        <v>545</v>
      </c>
      <c r="G10" t="s">
        <v>546</v>
      </c>
      <c r="H10" t="s">
        <v>547</v>
      </c>
    </row>
    <row r="11" spans="1:8">
      <c r="A11">
        <v>1</v>
      </c>
      <c r="B11" t="s">
        <v>554</v>
      </c>
      <c r="C11">
        <v>202</v>
      </c>
      <c r="D11" t="s">
        <v>559</v>
      </c>
      <c r="E11" t="s">
        <v>549</v>
      </c>
      <c r="F11">
        <v>20</v>
      </c>
      <c r="H11" t="str">
        <f t="shared" ref="H11:H16" si="0">B11</f>
        <v>所番地分類2</v>
      </c>
    </row>
    <row r="12" spans="1:8">
      <c r="A12">
        <v>2</v>
      </c>
      <c r="B12" t="s">
        <v>343</v>
      </c>
      <c r="C12">
        <v>202</v>
      </c>
      <c r="D12" t="s">
        <v>234</v>
      </c>
      <c r="E12" t="s">
        <v>549</v>
      </c>
      <c r="F12">
        <v>50</v>
      </c>
      <c r="H12" t="str">
        <f t="shared" si="0"/>
        <v>所番地2</v>
      </c>
    </row>
    <row r="13" spans="1:8">
      <c r="A13">
        <v>3</v>
      </c>
      <c r="B13" t="s">
        <v>555</v>
      </c>
      <c r="C13">
        <v>202</v>
      </c>
      <c r="D13" t="s">
        <v>560</v>
      </c>
      <c r="E13" t="s">
        <v>549</v>
      </c>
      <c r="F13">
        <v>20</v>
      </c>
      <c r="H13" t="str">
        <f t="shared" si="0"/>
        <v>所番地分類1</v>
      </c>
    </row>
    <row r="14" spans="1:8">
      <c r="A14">
        <v>4</v>
      </c>
      <c r="B14" t="s">
        <v>495</v>
      </c>
      <c r="C14">
        <v>3</v>
      </c>
      <c r="D14" t="s">
        <v>558</v>
      </c>
      <c r="E14" t="s">
        <v>549</v>
      </c>
      <c r="F14">
        <v>20</v>
      </c>
      <c r="H14" t="str">
        <f t="shared" si="0"/>
        <v>hid</v>
      </c>
    </row>
    <row r="15" spans="1:8">
      <c r="A15">
        <v>5</v>
      </c>
      <c r="B15" t="s">
        <v>514</v>
      </c>
      <c r="C15">
        <v>11</v>
      </c>
      <c r="D15" t="s">
        <v>557</v>
      </c>
      <c r="E15" t="s">
        <v>548</v>
      </c>
      <c r="F15">
        <v>2</v>
      </c>
      <c r="H15" t="str">
        <f t="shared" si="0"/>
        <v>使用状態</v>
      </c>
    </row>
    <row r="16" spans="1:8">
      <c r="A16">
        <v>6</v>
      </c>
      <c r="B16" t="s">
        <v>38</v>
      </c>
      <c r="C16">
        <v>202</v>
      </c>
      <c r="D16" t="s">
        <v>556</v>
      </c>
      <c r="E16" t="s">
        <v>549</v>
      </c>
      <c r="F16">
        <v>21</v>
      </c>
      <c r="H16" t="str">
        <f t="shared" si="0"/>
        <v>備考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0"/>
  <dimension ref="A1:H16"/>
  <sheetViews>
    <sheetView workbookViewId="0">
      <selection activeCell="I32" sqref="I31:I32"/>
    </sheetView>
  </sheetViews>
  <sheetFormatPr defaultRowHeight="13.2"/>
  <cols>
    <col min="2" max="2" width="39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540</v>
      </c>
      <c r="C2" s="1" t="s">
        <v>577</v>
      </c>
      <c r="D2" s="1" t="s">
        <v>570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561</v>
      </c>
      <c r="C4" t="s">
        <v>541</v>
      </c>
    </row>
    <row r="5" spans="1:8">
      <c r="A5" t="s">
        <v>10</v>
      </c>
      <c r="B5" s="1" t="s">
        <v>542</v>
      </c>
      <c r="C5" t="s">
        <v>16</v>
      </c>
    </row>
    <row r="6" spans="1:8">
      <c r="A6" t="s">
        <v>11</v>
      </c>
      <c r="B6" s="1" t="s">
        <v>569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テーブル作成_tb_C_SEC3</v>
      </c>
      <c r="C7" t="s">
        <v>28</v>
      </c>
    </row>
    <row r="9" spans="1:8">
      <c r="B9" t="s">
        <v>18</v>
      </c>
      <c r="D9" t="s">
        <v>19</v>
      </c>
      <c r="E9" t="s">
        <v>562</v>
      </c>
      <c r="F9" t="s">
        <v>562</v>
      </c>
      <c r="G9" t="s">
        <v>562</v>
      </c>
      <c r="H9" t="s">
        <v>562</v>
      </c>
    </row>
    <row r="10" spans="1:8">
      <c r="A10" t="s">
        <v>563</v>
      </c>
      <c r="B10" t="s">
        <v>2</v>
      </c>
      <c r="C10" t="s">
        <v>12</v>
      </c>
      <c r="D10" t="s">
        <v>3</v>
      </c>
      <c r="E10" t="s">
        <v>4</v>
      </c>
      <c r="F10" t="s">
        <v>564</v>
      </c>
      <c r="G10" t="s">
        <v>565</v>
      </c>
      <c r="H10" t="s">
        <v>566</v>
      </c>
    </row>
    <row r="11" spans="1:8">
      <c r="A11">
        <v>1</v>
      </c>
      <c r="B11" t="s">
        <v>571</v>
      </c>
      <c r="C11">
        <v>202</v>
      </c>
      <c r="D11" t="s">
        <v>572</v>
      </c>
      <c r="E11" t="s">
        <v>567</v>
      </c>
      <c r="F11">
        <v>20</v>
      </c>
      <c r="H11" t="str">
        <f t="shared" ref="H11:H16" si="0">B11</f>
        <v>所番地分類3</v>
      </c>
    </row>
    <row r="12" spans="1:8">
      <c r="A12">
        <v>2</v>
      </c>
      <c r="B12" t="s">
        <v>345</v>
      </c>
      <c r="C12">
        <v>202</v>
      </c>
      <c r="D12" t="s">
        <v>235</v>
      </c>
      <c r="E12" t="s">
        <v>567</v>
      </c>
      <c r="F12">
        <v>50</v>
      </c>
      <c r="H12" t="str">
        <f t="shared" si="0"/>
        <v>所番地3</v>
      </c>
    </row>
    <row r="13" spans="1:8">
      <c r="A13">
        <v>3</v>
      </c>
      <c r="B13" t="s">
        <v>554</v>
      </c>
      <c r="C13">
        <v>202</v>
      </c>
      <c r="D13" t="s">
        <v>573</v>
      </c>
      <c r="E13" t="s">
        <v>567</v>
      </c>
      <c r="F13">
        <v>20</v>
      </c>
      <c r="H13" t="str">
        <f t="shared" si="0"/>
        <v>所番地分類2</v>
      </c>
    </row>
    <row r="14" spans="1:8">
      <c r="A14">
        <v>4</v>
      </c>
      <c r="B14" t="s">
        <v>495</v>
      </c>
      <c r="C14">
        <v>3</v>
      </c>
      <c r="D14" t="s">
        <v>574</v>
      </c>
      <c r="E14" t="s">
        <v>567</v>
      </c>
      <c r="F14">
        <v>20</v>
      </c>
      <c r="H14" t="str">
        <f t="shared" si="0"/>
        <v>hid</v>
      </c>
    </row>
    <row r="15" spans="1:8">
      <c r="A15">
        <v>5</v>
      </c>
      <c r="B15" t="s">
        <v>514</v>
      </c>
      <c r="C15">
        <v>11</v>
      </c>
      <c r="D15" t="s">
        <v>575</v>
      </c>
      <c r="E15" t="s">
        <v>568</v>
      </c>
      <c r="F15">
        <v>2</v>
      </c>
      <c r="H15" t="str">
        <f t="shared" si="0"/>
        <v>使用状態</v>
      </c>
    </row>
    <row r="16" spans="1:8">
      <c r="A16">
        <v>6</v>
      </c>
      <c r="B16" t="s">
        <v>38</v>
      </c>
      <c r="C16">
        <v>202</v>
      </c>
      <c r="D16" t="s">
        <v>576</v>
      </c>
      <c r="E16" t="s">
        <v>567</v>
      </c>
      <c r="F16">
        <v>21</v>
      </c>
      <c r="H16" t="str">
        <f t="shared" si="0"/>
        <v>備考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1"/>
  <dimension ref="A1:H16"/>
  <sheetViews>
    <sheetView workbookViewId="0">
      <selection activeCell="D13" sqref="D13"/>
    </sheetView>
  </sheetViews>
  <sheetFormatPr defaultRowHeight="13.2"/>
  <cols>
    <col min="2" max="2" width="39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578</v>
      </c>
      <c r="C2" s="1" t="s">
        <v>595</v>
      </c>
      <c r="D2" s="1" t="s">
        <v>596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579</v>
      </c>
      <c r="C4" t="s">
        <v>580</v>
      </c>
    </row>
    <row r="5" spans="1:8">
      <c r="A5" t="s">
        <v>10</v>
      </c>
      <c r="B5" s="1" t="s">
        <v>581</v>
      </c>
      <c r="C5" t="s">
        <v>16</v>
      </c>
    </row>
    <row r="6" spans="1:8">
      <c r="A6" t="s">
        <v>11</v>
      </c>
      <c r="B6" s="1" t="s">
        <v>597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テーブル作成_tb_C_SEC4</v>
      </c>
      <c r="C7" t="s">
        <v>28</v>
      </c>
    </row>
    <row r="9" spans="1:8">
      <c r="B9" t="s">
        <v>18</v>
      </c>
      <c r="D9" t="s">
        <v>19</v>
      </c>
      <c r="E9" t="s">
        <v>582</v>
      </c>
      <c r="F9" t="s">
        <v>582</v>
      </c>
      <c r="G9" t="s">
        <v>582</v>
      </c>
      <c r="H9" t="s">
        <v>582</v>
      </c>
    </row>
    <row r="10" spans="1:8">
      <c r="A10" t="s">
        <v>583</v>
      </c>
      <c r="B10" t="s">
        <v>2</v>
      </c>
      <c r="C10" t="s">
        <v>12</v>
      </c>
      <c r="D10" t="s">
        <v>3</v>
      </c>
      <c r="E10" t="s">
        <v>4</v>
      </c>
      <c r="F10" t="s">
        <v>584</v>
      </c>
      <c r="G10" t="s">
        <v>585</v>
      </c>
      <c r="H10" t="s">
        <v>586</v>
      </c>
    </row>
    <row r="11" spans="1:8">
      <c r="A11">
        <v>1</v>
      </c>
      <c r="B11" t="s">
        <v>598</v>
      </c>
      <c r="C11">
        <v>202</v>
      </c>
      <c r="D11" t="s">
        <v>600</v>
      </c>
      <c r="E11" t="s">
        <v>588</v>
      </c>
      <c r="F11">
        <v>20</v>
      </c>
      <c r="H11" t="str">
        <f t="shared" ref="H11:H16" si="0">B11</f>
        <v>所番地分類4</v>
      </c>
    </row>
    <row r="12" spans="1:8">
      <c r="A12">
        <v>2</v>
      </c>
      <c r="B12" t="s">
        <v>347</v>
      </c>
      <c r="C12">
        <v>202</v>
      </c>
      <c r="D12" t="s">
        <v>601</v>
      </c>
      <c r="E12" t="s">
        <v>588</v>
      </c>
      <c r="F12">
        <v>50</v>
      </c>
      <c r="H12" t="str">
        <f t="shared" si="0"/>
        <v>所番地4</v>
      </c>
    </row>
    <row r="13" spans="1:8">
      <c r="A13">
        <v>3</v>
      </c>
      <c r="B13" t="s">
        <v>599</v>
      </c>
      <c r="C13">
        <v>202</v>
      </c>
      <c r="D13" t="s">
        <v>572</v>
      </c>
      <c r="E13" t="s">
        <v>588</v>
      </c>
      <c r="F13">
        <v>20</v>
      </c>
      <c r="H13" t="str">
        <f t="shared" si="0"/>
        <v>品名</v>
      </c>
    </row>
    <row r="14" spans="1:8">
      <c r="A14">
        <v>4</v>
      </c>
      <c r="B14" t="s">
        <v>38</v>
      </c>
      <c r="C14">
        <v>202</v>
      </c>
      <c r="D14" t="s">
        <v>602</v>
      </c>
      <c r="E14" t="s">
        <v>588</v>
      </c>
      <c r="F14">
        <v>20</v>
      </c>
      <c r="H14" t="str">
        <f t="shared" si="0"/>
        <v>備考</v>
      </c>
    </row>
    <row r="15" spans="1:8">
      <c r="A15">
        <v>5</v>
      </c>
      <c r="B15" t="s">
        <v>571</v>
      </c>
      <c r="C15">
        <v>202</v>
      </c>
      <c r="D15" t="s">
        <v>603</v>
      </c>
      <c r="E15" t="s">
        <v>593</v>
      </c>
      <c r="F15">
        <v>2</v>
      </c>
      <c r="H15" t="str">
        <f t="shared" si="0"/>
        <v>所番地分類3</v>
      </c>
    </row>
    <row r="16" spans="1:8">
      <c r="A16">
        <v>6</v>
      </c>
      <c r="B16" t="s">
        <v>514</v>
      </c>
      <c r="C16">
        <v>11</v>
      </c>
      <c r="D16" t="s">
        <v>604</v>
      </c>
      <c r="E16" t="s">
        <v>588</v>
      </c>
      <c r="F16">
        <v>21</v>
      </c>
      <c r="H16" t="str">
        <f t="shared" si="0"/>
        <v>使用状態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2"/>
  <dimension ref="A1:H16"/>
  <sheetViews>
    <sheetView tabSelected="1" zoomScale="115" workbookViewId="0">
      <selection activeCell="B16" sqref="B11:B16"/>
    </sheetView>
  </sheetViews>
  <sheetFormatPr defaultRowHeight="13.2"/>
  <cols>
    <col min="2" max="2" width="39" bestFit="1" customWidth="1"/>
    <col min="3" max="3" width="14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578</v>
      </c>
      <c r="C2" s="1" t="s">
        <v>605</v>
      </c>
      <c r="D2" s="1" t="s">
        <v>606</v>
      </c>
      <c r="E2" t="s">
        <v>17</v>
      </c>
    </row>
    <row r="3" spans="1:8">
      <c r="A3" t="s">
        <v>13</v>
      </c>
      <c r="B3" t="s">
        <v>14</v>
      </c>
    </row>
    <row r="4" spans="1:8">
      <c r="A4" t="s">
        <v>9</v>
      </c>
      <c r="B4" s="1" t="s">
        <v>579</v>
      </c>
      <c r="C4" t="s">
        <v>580</v>
      </c>
    </row>
    <row r="5" spans="1:8">
      <c r="A5" t="s">
        <v>10</v>
      </c>
      <c r="B5" s="1" t="s">
        <v>581</v>
      </c>
      <c r="C5" t="s">
        <v>16</v>
      </c>
    </row>
    <row r="6" spans="1:8">
      <c r="A6" t="s">
        <v>11</v>
      </c>
      <c r="B6" s="1" t="s">
        <v>607</v>
      </c>
      <c r="C6" t="s">
        <v>15</v>
      </c>
    </row>
    <row r="7" spans="1:8">
      <c r="A7" t="s">
        <v>27</v>
      </c>
      <c r="B7" s="1" t="str">
        <f ca="1">RIGHT(CELL("filename",A1),LEN(CELL("filename",A1))-FIND("]",CELL("filename",A1)))</f>
        <v>テーブル作成_tb_C_SEC5</v>
      </c>
      <c r="C7" t="s">
        <v>28</v>
      </c>
    </row>
    <row r="9" spans="1:8">
      <c r="B9" t="s">
        <v>18</v>
      </c>
      <c r="D9" t="s">
        <v>19</v>
      </c>
      <c r="E9" t="s">
        <v>582</v>
      </c>
      <c r="F9" t="s">
        <v>582</v>
      </c>
      <c r="G9" t="s">
        <v>582</v>
      </c>
      <c r="H9" t="s">
        <v>582</v>
      </c>
    </row>
    <row r="10" spans="1:8">
      <c r="A10" t="s">
        <v>583</v>
      </c>
      <c r="B10" t="s">
        <v>2</v>
      </c>
      <c r="C10" t="s">
        <v>12</v>
      </c>
      <c r="D10" t="s">
        <v>3</v>
      </c>
      <c r="E10" t="s">
        <v>4</v>
      </c>
      <c r="F10" t="s">
        <v>584</v>
      </c>
      <c r="G10" t="s">
        <v>585</v>
      </c>
      <c r="H10" t="s">
        <v>586</v>
      </c>
    </row>
    <row r="11" spans="1:8">
      <c r="A11">
        <v>1</v>
      </c>
      <c r="C11">
        <v>202</v>
      </c>
      <c r="D11" t="s">
        <v>587</v>
      </c>
      <c r="E11" t="s">
        <v>588</v>
      </c>
      <c r="F11">
        <v>20</v>
      </c>
      <c r="H11">
        <f t="shared" ref="H11:H16" si="0">B11</f>
        <v>0</v>
      </c>
    </row>
    <row r="12" spans="1:8">
      <c r="A12">
        <v>2</v>
      </c>
      <c r="C12">
        <v>202</v>
      </c>
      <c r="D12" t="s">
        <v>589</v>
      </c>
      <c r="E12" t="s">
        <v>588</v>
      </c>
      <c r="F12">
        <v>50</v>
      </c>
      <c r="H12">
        <f t="shared" si="0"/>
        <v>0</v>
      </c>
    </row>
    <row r="13" spans="1:8">
      <c r="A13">
        <v>3</v>
      </c>
      <c r="C13">
        <v>202</v>
      </c>
      <c r="D13" t="s">
        <v>590</v>
      </c>
      <c r="E13" t="s">
        <v>588</v>
      </c>
      <c r="F13">
        <v>20</v>
      </c>
      <c r="H13">
        <f t="shared" si="0"/>
        <v>0</v>
      </c>
    </row>
    <row r="14" spans="1:8">
      <c r="A14">
        <v>4</v>
      </c>
      <c r="C14">
        <v>3</v>
      </c>
      <c r="D14" t="s">
        <v>591</v>
      </c>
      <c r="E14" t="s">
        <v>588</v>
      </c>
      <c r="F14">
        <v>20</v>
      </c>
      <c r="H14">
        <f t="shared" si="0"/>
        <v>0</v>
      </c>
    </row>
    <row r="15" spans="1:8">
      <c r="A15">
        <v>5</v>
      </c>
      <c r="C15">
        <v>11</v>
      </c>
      <c r="D15" t="s">
        <v>592</v>
      </c>
      <c r="E15" t="s">
        <v>593</v>
      </c>
      <c r="F15">
        <v>2</v>
      </c>
      <c r="H15">
        <f t="shared" si="0"/>
        <v>0</v>
      </c>
    </row>
    <row r="16" spans="1:8">
      <c r="A16">
        <v>6</v>
      </c>
      <c r="C16">
        <v>202</v>
      </c>
      <c r="D16" t="s">
        <v>594</v>
      </c>
      <c r="E16" t="s">
        <v>588</v>
      </c>
      <c r="F16">
        <v>21</v>
      </c>
      <c r="H16">
        <f t="shared" si="0"/>
        <v>0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/>
  <dimension ref="A1:H35"/>
  <sheetViews>
    <sheetView topLeftCell="A4" workbookViewId="0"/>
  </sheetViews>
  <sheetFormatPr defaultRowHeight="13.2"/>
  <cols>
    <col min="2" max="2" width="20.109375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58</v>
      </c>
      <c r="C2" t="s">
        <v>163</v>
      </c>
    </row>
    <row r="3" spans="1:8">
      <c r="A3" t="s">
        <v>13</v>
      </c>
      <c r="B3" t="s">
        <v>14</v>
      </c>
    </row>
    <row r="4" spans="1:8">
      <c r="A4" t="s">
        <v>9</v>
      </c>
      <c r="B4" t="s">
        <v>121</v>
      </c>
    </row>
    <row r="5" spans="1:8">
      <c r="A5" t="s">
        <v>10</v>
      </c>
      <c r="B5" t="s">
        <v>122</v>
      </c>
    </row>
    <row r="6" spans="1:8">
      <c r="A6" t="s">
        <v>11</v>
      </c>
      <c r="B6" t="s">
        <v>133</v>
      </c>
    </row>
    <row r="10" spans="1:8">
      <c r="A10" t="s">
        <v>164</v>
      </c>
      <c r="B10" t="s">
        <v>2</v>
      </c>
      <c r="C10" t="s">
        <v>12</v>
      </c>
      <c r="D10" t="s">
        <v>3</v>
      </c>
      <c r="E10" t="s">
        <v>4</v>
      </c>
      <c r="F10" t="s">
        <v>165</v>
      </c>
      <c r="G10" t="s">
        <v>166</v>
      </c>
      <c r="H10" t="s">
        <v>167</v>
      </c>
    </row>
    <row r="11" spans="1:8">
      <c r="A11">
        <v>1</v>
      </c>
      <c r="B11" t="s">
        <v>117</v>
      </c>
      <c r="C11">
        <v>202</v>
      </c>
      <c r="D11" t="s">
        <v>118</v>
      </c>
      <c r="E11" t="s">
        <v>168</v>
      </c>
      <c r="F11">
        <v>2</v>
      </c>
      <c r="H11" t="str">
        <f t="shared" ref="H11:H35" si="0">B11</f>
        <v>器物分類コード</v>
      </c>
    </row>
    <row r="12" spans="1:8">
      <c r="A12">
        <v>2</v>
      </c>
      <c r="B12" t="s">
        <v>133</v>
      </c>
      <c r="C12">
        <v>202</v>
      </c>
      <c r="D12" t="s">
        <v>169</v>
      </c>
      <c r="E12" t="s">
        <v>170</v>
      </c>
      <c r="F12">
        <v>5</v>
      </c>
      <c r="H12" t="str">
        <f t="shared" si="0"/>
        <v>型式コード</v>
      </c>
    </row>
    <row r="13" spans="1:8">
      <c r="A13">
        <v>3</v>
      </c>
      <c r="B13" t="s">
        <v>134</v>
      </c>
      <c r="C13">
        <v>202</v>
      </c>
      <c r="D13" t="s">
        <v>171</v>
      </c>
      <c r="E13" t="s">
        <v>170</v>
      </c>
      <c r="F13">
        <v>300</v>
      </c>
      <c r="H13" t="str">
        <f t="shared" si="0"/>
        <v>型式</v>
      </c>
    </row>
    <row r="14" spans="1:8">
      <c r="A14">
        <v>4</v>
      </c>
      <c r="B14" t="s">
        <v>135</v>
      </c>
      <c r="C14">
        <v>202</v>
      </c>
      <c r="D14" t="s">
        <v>172</v>
      </c>
      <c r="E14" t="s">
        <v>170</v>
      </c>
      <c r="F14">
        <v>300</v>
      </c>
      <c r="H14" t="str">
        <f t="shared" si="0"/>
        <v>全名称</v>
      </c>
    </row>
    <row r="15" spans="1:8">
      <c r="A15">
        <v>5</v>
      </c>
      <c r="B15" t="s">
        <v>136</v>
      </c>
      <c r="C15">
        <v>202</v>
      </c>
      <c r="D15" t="s">
        <v>173</v>
      </c>
      <c r="E15" t="s">
        <v>170</v>
      </c>
      <c r="F15">
        <v>300</v>
      </c>
      <c r="H15" t="str">
        <f t="shared" si="0"/>
        <v>校正器番号</v>
      </c>
    </row>
    <row r="16" spans="1:8">
      <c r="A16">
        <v>6</v>
      </c>
      <c r="B16" t="s">
        <v>137</v>
      </c>
      <c r="C16">
        <v>202</v>
      </c>
      <c r="D16" t="s">
        <v>138</v>
      </c>
      <c r="E16" t="s">
        <v>170</v>
      </c>
      <c r="F16">
        <v>300</v>
      </c>
      <c r="H16" t="str">
        <f t="shared" si="0"/>
        <v>検査項目1</v>
      </c>
    </row>
    <row r="17" spans="1:8">
      <c r="A17">
        <v>7</v>
      </c>
      <c r="B17" t="s">
        <v>139</v>
      </c>
      <c r="C17">
        <v>202</v>
      </c>
      <c r="D17" t="s">
        <v>140</v>
      </c>
      <c r="E17" t="s">
        <v>170</v>
      </c>
      <c r="F17">
        <v>300</v>
      </c>
      <c r="H17" t="str">
        <f t="shared" si="0"/>
        <v>検査項目2</v>
      </c>
    </row>
    <row r="18" spans="1:8">
      <c r="A18">
        <v>8</v>
      </c>
      <c r="B18" t="s">
        <v>141</v>
      </c>
      <c r="C18">
        <v>202</v>
      </c>
      <c r="D18" t="s">
        <v>142</v>
      </c>
      <c r="E18" t="s">
        <v>170</v>
      </c>
      <c r="F18">
        <v>300</v>
      </c>
      <c r="H18" t="str">
        <f t="shared" si="0"/>
        <v>検査項目3</v>
      </c>
    </row>
    <row r="19" spans="1:8">
      <c r="A19">
        <v>9</v>
      </c>
      <c r="B19" t="s">
        <v>143</v>
      </c>
      <c r="C19">
        <v>4</v>
      </c>
      <c r="D19" t="s">
        <v>174</v>
      </c>
      <c r="E19" t="s">
        <v>144</v>
      </c>
      <c r="H19" t="str">
        <f t="shared" si="0"/>
        <v>器差１上限</v>
      </c>
    </row>
    <row r="20" spans="1:8">
      <c r="A20">
        <v>10</v>
      </c>
      <c r="B20" t="s">
        <v>145</v>
      </c>
      <c r="C20">
        <v>4</v>
      </c>
      <c r="D20" t="s">
        <v>175</v>
      </c>
      <c r="E20" t="s">
        <v>144</v>
      </c>
      <c r="H20" t="str">
        <f t="shared" si="0"/>
        <v>器差１下限</v>
      </c>
    </row>
    <row r="21" spans="1:8">
      <c r="A21">
        <v>11</v>
      </c>
      <c r="B21" t="s">
        <v>146</v>
      </c>
      <c r="C21">
        <v>4</v>
      </c>
      <c r="D21" t="s">
        <v>176</v>
      </c>
      <c r="E21" t="s">
        <v>144</v>
      </c>
      <c r="H21" t="str">
        <f t="shared" si="0"/>
        <v>器差２上限</v>
      </c>
    </row>
    <row r="22" spans="1:8">
      <c r="A22">
        <v>12</v>
      </c>
      <c r="B22" t="s">
        <v>147</v>
      </c>
      <c r="C22">
        <v>4</v>
      </c>
      <c r="D22" t="s">
        <v>177</v>
      </c>
      <c r="E22" t="s">
        <v>144</v>
      </c>
      <c r="H22" t="str">
        <f t="shared" si="0"/>
        <v>器差２下限</v>
      </c>
    </row>
    <row r="23" spans="1:8">
      <c r="A23">
        <v>13</v>
      </c>
      <c r="B23" t="s">
        <v>148</v>
      </c>
      <c r="C23">
        <v>4</v>
      </c>
      <c r="D23" t="s">
        <v>178</v>
      </c>
      <c r="E23" t="s">
        <v>144</v>
      </c>
      <c r="H23" t="str">
        <f t="shared" si="0"/>
        <v>器差３上限</v>
      </c>
    </row>
    <row r="24" spans="1:8">
      <c r="A24">
        <v>14</v>
      </c>
      <c r="B24" t="s">
        <v>149</v>
      </c>
      <c r="C24">
        <v>4</v>
      </c>
      <c r="D24" t="s">
        <v>179</v>
      </c>
      <c r="E24" t="s">
        <v>144</v>
      </c>
      <c r="H24" t="str">
        <f t="shared" si="0"/>
        <v>器差３下限</v>
      </c>
    </row>
    <row r="25" spans="1:8">
      <c r="A25">
        <v>15</v>
      </c>
      <c r="B25" t="s">
        <v>150</v>
      </c>
      <c r="C25">
        <v>202</v>
      </c>
      <c r="D25" t="s">
        <v>180</v>
      </c>
      <c r="E25" t="s">
        <v>170</v>
      </c>
      <c r="F25">
        <v>300</v>
      </c>
      <c r="H25" t="str">
        <f t="shared" si="0"/>
        <v>検査項目内容1</v>
      </c>
    </row>
    <row r="26" spans="1:8">
      <c r="A26">
        <v>16</v>
      </c>
      <c r="B26" t="s">
        <v>151</v>
      </c>
      <c r="C26">
        <v>202</v>
      </c>
      <c r="D26" t="s">
        <v>181</v>
      </c>
      <c r="E26" t="s">
        <v>170</v>
      </c>
      <c r="F26">
        <v>300</v>
      </c>
      <c r="H26" t="str">
        <f t="shared" si="0"/>
        <v>検査項目内容2</v>
      </c>
    </row>
    <row r="27" spans="1:8">
      <c r="A27">
        <v>17</v>
      </c>
      <c r="B27" t="s">
        <v>152</v>
      </c>
      <c r="C27">
        <v>202</v>
      </c>
      <c r="D27" t="s">
        <v>182</v>
      </c>
      <c r="E27" t="s">
        <v>170</v>
      </c>
      <c r="F27">
        <v>300</v>
      </c>
      <c r="H27" t="str">
        <f t="shared" si="0"/>
        <v>検査項目内容3</v>
      </c>
    </row>
    <row r="28" spans="1:8">
      <c r="A28">
        <v>18</v>
      </c>
      <c r="B28" t="s">
        <v>153</v>
      </c>
      <c r="C28">
        <v>202</v>
      </c>
      <c r="D28" t="s">
        <v>183</v>
      </c>
      <c r="E28" t="s">
        <v>170</v>
      </c>
      <c r="F28">
        <v>300</v>
      </c>
      <c r="H28" t="str">
        <f t="shared" si="0"/>
        <v>器差１記号</v>
      </c>
    </row>
    <row r="29" spans="1:8">
      <c r="A29">
        <v>19</v>
      </c>
      <c r="B29" t="s">
        <v>154</v>
      </c>
      <c r="C29">
        <v>202</v>
      </c>
      <c r="D29" t="s">
        <v>184</v>
      </c>
      <c r="E29" t="s">
        <v>170</v>
      </c>
      <c r="F29">
        <v>300</v>
      </c>
      <c r="H29" t="str">
        <f t="shared" si="0"/>
        <v>器差２記号</v>
      </c>
    </row>
    <row r="30" spans="1:8">
      <c r="A30">
        <v>20</v>
      </c>
      <c r="B30" t="s">
        <v>155</v>
      </c>
      <c r="C30">
        <v>202</v>
      </c>
      <c r="D30" t="s">
        <v>185</v>
      </c>
      <c r="E30" t="s">
        <v>170</v>
      </c>
      <c r="F30">
        <v>300</v>
      </c>
      <c r="H30" t="str">
        <f t="shared" si="0"/>
        <v>器差３記号</v>
      </c>
    </row>
    <row r="31" spans="1:8">
      <c r="A31">
        <v>21</v>
      </c>
      <c r="B31" t="s">
        <v>156</v>
      </c>
      <c r="C31">
        <v>11</v>
      </c>
      <c r="D31" t="s">
        <v>186</v>
      </c>
      <c r="E31" t="s">
        <v>187</v>
      </c>
      <c r="H31" t="str">
        <f t="shared" si="0"/>
        <v>器差１記号使用</v>
      </c>
    </row>
    <row r="32" spans="1:8">
      <c r="A32">
        <v>22</v>
      </c>
      <c r="B32" t="s">
        <v>157</v>
      </c>
      <c r="C32">
        <v>11</v>
      </c>
      <c r="D32" t="s">
        <v>188</v>
      </c>
      <c r="E32" t="s">
        <v>187</v>
      </c>
      <c r="H32" t="str">
        <f t="shared" si="0"/>
        <v>器差２記号使用</v>
      </c>
    </row>
    <row r="33" spans="1:8">
      <c r="A33">
        <v>23</v>
      </c>
      <c r="B33" t="s">
        <v>158</v>
      </c>
      <c r="C33">
        <v>11</v>
      </c>
      <c r="D33" t="s">
        <v>189</v>
      </c>
      <c r="E33" t="s">
        <v>187</v>
      </c>
      <c r="H33" t="str">
        <f t="shared" si="0"/>
        <v>器差３記号使用</v>
      </c>
    </row>
    <row r="34" spans="1:8">
      <c r="A34">
        <v>24</v>
      </c>
      <c r="B34" t="s">
        <v>159</v>
      </c>
      <c r="C34">
        <v>3</v>
      </c>
      <c r="D34" t="s">
        <v>160</v>
      </c>
      <c r="E34" t="s">
        <v>168</v>
      </c>
      <c r="F34">
        <v>2</v>
      </c>
      <c r="H34" t="str">
        <f t="shared" si="0"/>
        <v>規格タイプ</v>
      </c>
    </row>
    <row r="35" spans="1:8">
      <c r="A35">
        <v>25</v>
      </c>
      <c r="B35" t="s">
        <v>161</v>
      </c>
      <c r="C35">
        <v>3</v>
      </c>
      <c r="D35" t="s">
        <v>162</v>
      </c>
      <c r="E35" t="s">
        <v>168</v>
      </c>
      <c r="F35">
        <v>2</v>
      </c>
      <c r="H35" t="str">
        <f t="shared" si="0"/>
        <v>特性タイプ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0"/>
  <dimension ref="A1:H12"/>
  <sheetViews>
    <sheetView workbookViewId="0"/>
  </sheetViews>
  <sheetFormatPr defaultRowHeight="13.2"/>
  <cols>
    <col min="2" max="2" width="20.109375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58</v>
      </c>
      <c r="C2" t="s">
        <v>191</v>
      </c>
    </row>
    <row r="3" spans="1:8">
      <c r="A3" t="s">
        <v>13</v>
      </c>
      <c r="B3" t="s">
        <v>14</v>
      </c>
    </row>
    <row r="4" spans="1:8">
      <c r="A4" t="s">
        <v>9</v>
      </c>
      <c r="B4" t="s">
        <v>121</v>
      </c>
    </row>
    <row r="5" spans="1:8">
      <c r="A5" t="s">
        <v>10</v>
      </c>
      <c r="B5" t="s">
        <v>122</v>
      </c>
    </row>
    <row r="6" spans="1:8">
      <c r="A6" t="s">
        <v>11</v>
      </c>
      <c r="B6" t="s">
        <v>190</v>
      </c>
    </row>
    <row r="10" spans="1:8">
      <c r="A10" t="s">
        <v>164</v>
      </c>
      <c r="B10" t="s">
        <v>2</v>
      </c>
      <c r="C10" t="s">
        <v>12</v>
      </c>
      <c r="D10" t="s">
        <v>3</v>
      </c>
      <c r="E10" t="s">
        <v>4</v>
      </c>
      <c r="F10" t="s">
        <v>192</v>
      </c>
      <c r="G10" t="s">
        <v>193</v>
      </c>
      <c r="H10" t="s">
        <v>194</v>
      </c>
    </row>
    <row r="11" spans="1:8">
      <c r="A11">
        <v>1</v>
      </c>
      <c r="B11" t="s">
        <v>195</v>
      </c>
      <c r="C11">
        <v>202</v>
      </c>
      <c r="D11" t="s">
        <v>196</v>
      </c>
      <c r="E11" t="s">
        <v>197</v>
      </c>
      <c r="F11">
        <v>2</v>
      </c>
      <c r="H11" t="str">
        <f>B11</f>
        <v>使用区分コード</v>
      </c>
    </row>
    <row r="12" spans="1:8">
      <c r="A12">
        <v>2</v>
      </c>
      <c r="B12" t="s">
        <v>198</v>
      </c>
      <c r="C12">
        <v>202</v>
      </c>
      <c r="D12" t="s">
        <v>199</v>
      </c>
      <c r="E12" t="s">
        <v>200</v>
      </c>
      <c r="F12">
        <v>300</v>
      </c>
      <c r="H12" t="str">
        <f>B12</f>
        <v>使用区分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1"/>
  <dimension ref="A1:H12"/>
  <sheetViews>
    <sheetView workbookViewId="0"/>
  </sheetViews>
  <sheetFormatPr defaultRowHeight="13.2"/>
  <cols>
    <col min="2" max="2" width="20.109375" customWidth="1"/>
    <col min="4" max="4" width="30.21875" bestFit="1" customWidth="1"/>
    <col min="5" max="5" width="11.44140625" bestFit="1" customWidth="1"/>
  </cols>
  <sheetData>
    <row r="1" spans="1:8">
      <c r="A1" t="s">
        <v>0</v>
      </c>
      <c r="C1" t="s">
        <v>1</v>
      </c>
    </row>
    <row r="2" spans="1:8">
      <c r="A2" t="s">
        <v>58</v>
      </c>
      <c r="C2" t="s">
        <v>201</v>
      </c>
    </row>
    <row r="3" spans="1:8">
      <c r="A3" t="s">
        <v>13</v>
      </c>
      <c r="B3" t="s">
        <v>14</v>
      </c>
    </row>
    <row r="4" spans="1:8">
      <c r="A4" t="s">
        <v>9</v>
      </c>
      <c r="B4" t="s">
        <v>121</v>
      </c>
    </row>
    <row r="5" spans="1:8">
      <c r="A5" t="s">
        <v>10</v>
      </c>
      <c r="B5" t="s">
        <v>122</v>
      </c>
    </row>
    <row r="6" spans="1:8">
      <c r="A6" t="s">
        <v>11</v>
      </c>
      <c r="B6" t="s">
        <v>202</v>
      </c>
    </row>
    <row r="10" spans="1:8">
      <c r="A10" t="s">
        <v>164</v>
      </c>
      <c r="B10" t="s">
        <v>2</v>
      </c>
      <c r="C10" t="s">
        <v>12</v>
      </c>
      <c r="D10" t="s">
        <v>3</v>
      </c>
      <c r="E10" t="s">
        <v>4</v>
      </c>
      <c r="F10" t="s">
        <v>203</v>
      </c>
      <c r="G10" t="s">
        <v>204</v>
      </c>
      <c r="H10" t="s">
        <v>205</v>
      </c>
    </row>
    <row r="11" spans="1:8">
      <c r="A11">
        <v>1</v>
      </c>
      <c r="B11" t="s">
        <v>206</v>
      </c>
      <c r="C11">
        <v>202</v>
      </c>
      <c r="D11" t="s">
        <v>207</v>
      </c>
      <c r="E11" t="s">
        <v>208</v>
      </c>
      <c r="F11">
        <v>2</v>
      </c>
      <c r="H11" t="str">
        <f>B11</f>
        <v>器物大分類コード</v>
      </c>
    </row>
    <row r="12" spans="1:8">
      <c r="A12">
        <v>2</v>
      </c>
      <c r="B12" t="s">
        <v>209</v>
      </c>
      <c r="C12">
        <v>202</v>
      </c>
      <c r="D12" t="s">
        <v>210</v>
      </c>
      <c r="E12" t="s">
        <v>211</v>
      </c>
      <c r="F12">
        <v>300</v>
      </c>
      <c r="H12" t="str">
        <f>B12</f>
        <v>器物大分類名</v>
      </c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データベース作成_inasei</vt:lpstr>
      <vt:lpstr>テーブル作成tb_imaster</vt:lpstr>
      <vt:lpstr>データベース作成_db_hmaster</vt:lpstr>
      <vt:lpstr>テーブル作成_tb_hmaster</vt:lpstr>
      <vt:lpstr>テーブル作成_tb_DOC_Master</vt:lpstr>
      <vt:lpstr>テーブル作成_login_log</vt:lpstr>
      <vt:lpstr>テーブル作成_tb_info</vt:lpstr>
      <vt:lpstr>テーブル作成_tb_master</vt:lpstr>
      <vt:lpstr>テーブル作成_tb_C_kibutsu_old</vt:lpstr>
      <vt:lpstr>テーブル作成_tb_C_kibutsu</vt:lpstr>
      <vt:lpstr>テーブル作成_tb_C_SEC1</vt:lpstr>
      <vt:lpstr>テーブル作成_tb_C_SEC2</vt:lpstr>
      <vt:lpstr>テーブル作成_tb_C_SEC3</vt:lpstr>
      <vt:lpstr>テーブル作成_tb_C_SEC4</vt:lpstr>
      <vt:lpstr>テーブル作成_tb_C_SEC5</vt:lpstr>
      <vt:lpstr>テーブル作成_tb_C_katashiki</vt:lpstr>
      <vt:lpstr>テーブル作成_tb_C_use</vt:lpstr>
      <vt:lpstr>テーブル作成_tb_C_kibutsu0</vt:lpstr>
      <vt:lpstr>テーブル作成_login_log!bminsert2</vt:lpstr>
      <vt:lpstr>テーブル作成_tb_DOC_Master!bminsert2</vt:lpstr>
      <vt:lpstr>テーブル作成_tb_hmaster!bminsert2</vt:lpstr>
      <vt:lpstr>テーブル作成_tb_info!bminsert2</vt:lpstr>
    </vt:vector>
  </TitlesOfParts>
  <Company>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</dc:creator>
  <cp:lastModifiedBy>tatsuya</cp:lastModifiedBy>
  <dcterms:created xsi:type="dcterms:W3CDTF">2021-02-11T01:23:53Z</dcterms:created>
  <dcterms:modified xsi:type="dcterms:W3CDTF">2021-06-16T02:53:49Z</dcterms:modified>
</cp:coreProperties>
</file>